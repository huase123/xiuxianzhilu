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7"/>
  </bookViews>
  <sheets>
    <sheet name="境界" sheetId="1" r:id="rId1"/>
    <sheet name="功法" sheetId="2" r:id="rId2"/>
    <sheet name="装备" sheetId="3" r:id="rId3"/>
    <sheet name="材料" sheetId="4" r:id="rId4"/>
    <sheet name="群系1" sheetId="6" r:id="rId5"/>
    <sheet name="草药" sheetId="7" r:id="rId6"/>
    <sheet name="丹药" sheetId="9" r:id="rId7"/>
    <sheet name="妖兽" sheetId="10" r:id="rId8"/>
    <sheet name="功能物品" sheetId="11" r:id="rId9"/>
  </sheets>
  <definedNames>
    <definedName name="_xlnm._FilterDatabase" localSheetId="6" hidden="1">丹药!$A$1:$AA$41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<sst xmlns="http://schemas.openxmlformats.org/spreadsheetml/2006/main" count="1348" uniqueCount="375">
  <si>
    <t>圆满层数</t>
  </si>
  <si>
    <t>修炼速度</t>
  </si>
  <si>
    <t>最大经验</t>
  </si>
  <si>
    <t>最大生命</t>
  </si>
  <si>
    <t>物攻</t>
  </si>
  <si>
    <t>物防</t>
  </si>
  <si>
    <t>爆伤</t>
  </si>
  <si>
    <t>爆率</t>
  </si>
  <si>
    <t>最大灵力</t>
  </si>
  <si>
    <t>命中</t>
  </si>
  <si>
    <t>遁速</t>
  </si>
  <si>
    <t>寿元</t>
  </si>
  <si>
    <t>吸血</t>
  </si>
  <si>
    <t>prent</t>
  </si>
  <si>
    <t>item</t>
  </si>
  <si>
    <t>lianqi</t>
  </si>
  <si>
    <t>练气</t>
  </si>
  <si>
    <t>zhuji</t>
  </si>
  <si>
    <t>jingjie0</t>
  </si>
  <si>
    <t>筑基</t>
  </si>
  <si>
    <t>jindan</t>
  </si>
  <si>
    <t>jingjie1</t>
  </si>
  <si>
    <t>金丹</t>
  </si>
  <si>
    <t>yuanying</t>
  </si>
  <si>
    <t>jingjie2</t>
  </si>
  <si>
    <t>元婴</t>
  </si>
  <si>
    <t>huashen</t>
  </si>
  <si>
    <t>jingjie3</t>
  </si>
  <si>
    <t>化神</t>
  </si>
  <si>
    <t>null</t>
  </si>
  <si>
    <t>jingjie4</t>
  </si>
  <si>
    <t>child</t>
  </si>
  <si>
    <t>gongfa0</t>
  </si>
  <si>
    <t>聚灵诀</t>
  </si>
  <si>
    <t>gongfa1</t>
  </si>
  <si>
    <t>凝元功</t>
  </si>
  <si>
    <t>gongfa2</t>
  </si>
  <si>
    <t>金丹诀</t>
  </si>
  <si>
    <t>gongfa3</t>
  </si>
  <si>
    <t>元婴化神诀</t>
  </si>
  <si>
    <t>gongfa4</t>
  </si>
  <si>
    <t>化神归真诀</t>
  </si>
  <si>
    <t>戒指</t>
  </si>
  <si>
    <t>项链</t>
  </si>
  <si>
    <t>玉佩</t>
  </si>
  <si>
    <t>护符</t>
  </si>
  <si>
    <t>穿戴境界</t>
  </si>
  <si>
    <t>类型</t>
  </si>
  <si>
    <t>等级</t>
  </si>
  <si>
    <t>灵戒指</t>
  </si>
  <si>
    <t>jiezhi0</t>
  </si>
  <si>
    <t>jiezhi1</t>
  </si>
  <si>
    <t>jiezhi2</t>
  </si>
  <si>
    <t>jiezhi3</t>
  </si>
  <si>
    <t>灵项链</t>
  </si>
  <si>
    <t>xianglian0</t>
  </si>
  <si>
    <t>xianglian1</t>
  </si>
  <si>
    <t>xianglian2</t>
  </si>
  <si>
    <t>xianglian3</t>
  </si>
  <si>
    <t>灵玉佩</t>
  </si>
  <si>
    <t>yvpei0</t>
  </si>
  <si>
    <t>yvpei1</t>
  </si>
  <si>
    <t>yvpei2</t>
  </si>
  <si>
    <t>yvpei3</t>
  </si>
  <si>
    <t>灵护符</t>
  </si>
  <si>
    <t>hufu0</t>
  </si>
  <si>
    <t>hufu1</t>
  </si>
  <si>
    <t>hufu2</t>
  </si>
  <si>
    <t>hufu3</t>
  </si>
  <si>
    <t>灵力密度</t>
  </si>
  <si>
    <t>灵力消耗</t>
  </si>
  <si>
    <t>黑纹铁</t>
  </si>
  <si>
    <t>云纹仙金</t>
  </si>
  <si>
    <t>凝气妖丹</t>
  </si>
  <si>
    <t>百锻玄铁</t>
  </si>
  <si>
    <t>10 11</t>
  </si>
  <si>
    <t>流霞仙金</t>
  </si>
  <si>
    <t>12 13</t>
  </si>
  <si>
    <t>灵风妖丹</t>
  </si>
  <si>
    <t>寒心铁精</t>
  </si>
  <si>
    <t>14 15 16 17</t>
  </si>
  <si>
    <t>玄霜仙金</t>
  </si>
  <si>
    <t>18 19 20 21</t>
  </si>
  <si>
    <t>真元妖丹</t>
  </si>
  <si>
    <t>星辰玄铁</t>
  </si>
  <si>
    <t>22 23</t>
  </si>
  <si>
    <t>鸿蒙仙金</t>
  </si>
  <si>
    <t>24 25</t>
  </si>
  <si>
    <t>真灵妖丹</t>
  </si>
  <si>
    <t>青纹灵玉</t>
  </si>
  <si>
    <t>凝露灵玉</t>
  </si>
  <si>
    <t>玄心灵玉</t>
  </si>
  <si>
    <t>通神灵玉</t>
  </si>
  <si>
    <t>月纹木‌</t>
  </si>
  <si>
    <t>凝脂楠‌</t>
  </si>
  <si>
    <r>
      <rPr>
        <sz val="11"/>
        <color theme="1"/>
        <rFont val="宋体"/>
        <charset val="134"/>
        <scheme val="minor"/>
      </rPr>
      <t>星叶松</t>
    </r>
    <r>
      <rPr>
        <sz val="9.8"/>
        <color rgb="FF6AAB73"/>
        <rFont val="Courier New"/>
        <charset val="134"/>
      </rPr>
      <t>-</t>
    </r>
  </si>
  <si>
    <r>
      <rPr>
        <sz val="11"/>
        <color theme="1"/>
        <rFont val="宋体"/>
        <charset val="134"/>
        <scheme val="minor"/>
      </rPr>
      <t>若灵木</t>
    </r>
    <r>
      <rPr>
        <sz val="9.8"/>
        <color rgb="FF6AAB73"/>
        <rFont val="Courier New"/>
        <charset val="134"/>
      </rPr>
      <t>-</t>
    </r>
  </si>
  <si>
    <t xml:space="preserve">linghe0 </t>
  </si>
  <si>
    <t xml:space="preserve">linghe1 </t>
  </si>
  <si>
    <t xml:space="preserve">linghe2 </t>
  </si>
  <si>
    <t xml:space="preserve">linghe3 </t>
  </si>
  <si>
    <t>xvantie0</t>
  </si>
  <si>
    <t>xvantie1</t>
  </si>
  <si>
    <t>xvantie2</t>
  </si>
  <si>
    <t>xvantie3</t>
  </si>
  <si>
    <t>lingjin0</t>
  </si>
  <si>
    <t>lingjin1</t>
  </si>
  <si>
    <t>lingjin2</t>
  </si>
  <si>
    <t>lingjin3</t>
  </si>
  <si>
    <t xml:space="preserve">lingyv0 </t>
  </si>
  <si>
    <t xml:space="preserve">lingyv1 </t>
  </si>
  <si>
    <t xml:space="preserve">lingyv2 </t>
  </si>
  <si>
    <t xml:space="preserve">lingyv3 </t>
  </si>
  <si>
    <t xml:space="preserve">lingmu0 </t>
  </si>
  <si>
    <t xml:space="preserve">lingmu1 </t>
  </si>
  <si>
    <t xml:space="preserve">lingmu2 </t>
  </si>
  <si>
    <t xml:space="preserve">lingmu3 </t>
  </si>
  <si>
    <t>id</t>
  </si>
  <si>
    <t>星叶松</t>
  </si>
  <si>
    <t>若灵木</t>
  </si>
  <si>
    <t>群系id</t>
  </si>
  <si>
    <t>映射id</t>
  </si>
  <si>
    <t>品阶</t>
  </si>
  <si>
    <t>河流</t>
  </si>
  <si>
    <t>炼气期</t>
  </si>
  <si>
    <t>水蛇</t>
  </si>
  <si>
    <t>xiuxianjie_biome0</t>
  </si>
  <si>
    <t>赤水魂泽</t>
  </si>
  <si>
    <t>赤水河</t>
  </si>
  <si>
    <t>赤鳞水虺</t>
  </si>
  <si>
    <t>chilingshuishe</t>
  </si>
  <si>
    <t>银月花</t>
  </si>
  <si>
    <t>草原</t>
  </si>
  <si>
    <t>风狼</t>
  </si>
  <si>
    <t>xiuxianjie_biome1</t>
  </si>
  <si>
    <r>
      <rPr>
        <sz val="11"/>
        <color theme="1"/>
        <rFont val="宋体"/>
        <charset val="134"/>
        <scheme val="minor"/>
      </rPr>
      <t>青丘牧野</t>
    </r>
    <r>
      <rPr>
        <b/>
        <sz val="14"/>
        <color theme="1"/>
        <rFont val="宋体"/>
        <charset val="134"/>
        <scheme val="minor"/>
      </rPr>
      <t>‌</t>
    </r>
  </si>
  <si>
    <t>青丘草原</t>
  </si>
  <si>
    <t>幻灵狐</t>
  </si>
  <si>
    <r>
      <rPr>
        <sz val="11"/>
        <color theme="1"/>
        <rFont val="宋体"/>
        <charset val="134"/>
        <scheme val="minor"/>
      </rPr>
      <t>黑纹铁</t>
    </r>
    <r>
      <rPr>
        <sz val="9.8"/>
        <color rgb="FF6AAB73"/>
        <rFont val="Courier New"/>
        <charset val="134"/>
      </rPr>
      <t>-</t>
    </r>
  </si>
  <si>
    <t>恒心草</t>
  </si>
  <si>
    <t>山地</t>
  </si>
  <si>
    <t>雷豹</t>
  </si>
  <si>
    <t>xiuxianjie_biome2</t>
  </si>
  <si>
    <t>昆仑天阙</t>
  </si>
  <si>
    <t>昆仑山地</t>
  </si>
  <si>
    <t>雪翼苍狼</t>
  </si>
  <si>
    <t>流董草</t>
  </si>
  <si>
    <t>地下</t>
  </si>
  <si>
    <t>筑基期</t>
  </si>
  <si>
    <t>饕餮</t>
  </si>
  <si>
    <t>xiuxianjie_biome3</t>
  </si>
  <si>
    <r>
      <rPr>
        <sz val="11"/>
        <color theme="1"/>
        <rFont val="宋体"/>
        <charset val="134"/>
        <scheme val="minor"/>
      </rPr>
      <t>幽都九渊</t>
    </r>
    <r>
      <rPr>
        <b/>
        <sz val="14"/>
        <color theme="1"/>
        <rFont val="宋体"/>
        <charset val="134"/>
        <scheme val="minor"/>
      </rPr>
      <t>‌</t>
    </r>
  </si>
  <si>
    <t>地下幽都</t>
  </si>
  <si>
    <t>幽冥鬼手</t>
  </si>
  <si>
    <t>宁心草</t>
  </si>
  <si>
    <t>沙漠</t>
  </si>
  <si>
    <t>土拨鼠</t>
  </si>
  <si>
    <t>xiuxianjie_biome4</t>
  </si>
  <si>
    <r>
      <rPr>
        <sz val="11"/>
        <color theme="1"/>
        <rFont val="宋体"/>
        <charset val="134"/>
        <scheme val="minor"/>
      </rPr>
      <t>流沙瀚海</t>
    </r>
    <r>
      <rPr>
        <b/>
        <sz val="14"/>
        <color theme="1"/>
        <rFont val="宋体"/>
        <charset val="134"/>
        <scheme val="minor"/>
      </rPr>
      <t>‌</t>
    </r>
  </si>
  <si>
    <t>流沙之墟</t>
  </si>
  <si>
    <t>沙影魔蝎</t>
  </si>
  <si>
    <t>轻灵草</t>
  </si>
  <si>
    <t>森林</t>
  </si>
  <si>
    <t>灵狐</t>
  </si>
  <si>
    <t>xiuxianjie_biome5</t>
  </si>
  <si>
    <r>
      <rPr>
        <sz val="11"/>
        <color theme="1"/>
        <rFont val="宋体"/>
        <charset val="134"/>
        <scheme val="minor"/>
      </rPr>
      <t>招摇神境</t>
    </r>
    <r>
      <rPr>
        <b/>
        <sz val="14"/>
        <color theme="1"/>
        <rFont val="宋体"/>
        <charset val="134"/>
        <scheme val="minor"/>
      </rPr>
      <t>‌</t>
    </r>
  </si>
  <si>
    <t>雾凇林海‌</t>
  </si>
  <si>
    <t>幻毒蛛</t>
  </si>
  <si>
    <t>天元果</t>
  </si>
  <si>
    <t>潜海</t>
  </si>
  <si>
    <t>金丹期</t>
  </si>
  <si>
    <t>海蛇</t>
  </si>
  <si>
    <t>xiuxianjie_biome6</t>
  </si>
  <si>
    <r>
      <rPr>
        <sz val="11"/>
        <color theme="1"/>
        <rFont val="宋体"/>
        <charset val="134"/>
        <scheme val="minor"/>
      </rPr>
      <t>归墟之渊</t>
    </r>
    <r>
      <rPr>
        <b/>
        <sz val="14"/>
        <color theme="1"/>
        <rFont val="宋体"/>
        <charset val="134"/>
        <scheme val="minor"/>
      </rPr>
      <t>‌</t>
    </r>
  </si>
  <si>
    <t>归墟溟海</t>
  </si>
  <si>
    <t>烛阴</t>
  </si>
  <si>
    <t>红绞草</t>
  </si>
  <si>
    <t>火山</t>
  </si>
  <si>
    <t>火麒麟</t>
  </si>
  <si>
    <t>xiuxianjie_biome7</t>
  </si>
  <si>
    <r>
      <rPr>
        <sz val="11"/>
        <color theme="1"/>
        <rFont val="宋体"/>
        <charset val="134"/>
        <scheme val="minor"/>
      </rPr>
      <t>炎火之山</t>
    </r>
    <r>
      <rPr>
        <b/>
        <sz val="14"/>
        <color theme="1"/>
        <rFont val="宋体"/>
        <charset val="134"/>
        <scheme val="minor"/>
      </rPr>
      <t>‌</t>
    </r>
  </si>
  <si>
    <t>炎火之山‌</t>
  </si>
  <si>
    <t>火麟兽</t>
  </si>
  <si>
    <t>风灵花</t>
  </si>
  <si>
    <t>雪山</t>
  </si>
  <si>
    <t>冰熊</t>
  </si>
  <si>
    <t>xiuxianjie_biome8</t>
  </si>
  <si>
    <r>
      <rPr>
        <sz val="11"/>
        <color theme="1"/>
        <rFont val="宋体"/>
        <charset val="134"/>
        <scheme val="minor"/>
      </rPr>
      <t>不周遗脉</t>
    </r>
    <r>
      <rPr>
        <b/>
        <sz val="14"/>
        <color theme="1"/>
        <rFont val="宋体"/>
        <charset val="134"/>
        <scheme val="minor"/>
      </rPr>
      <t>‌</t>
    </r>
  </si>
  <si>
    <t>不周雪山</t>
  </si>
  <si>
    <t>玄冰巨熊</t>
  </si>
  <si>
    <t>龙纹草</t>
  </si>
  <si>
    <t>冰川</t>
  </si>
  <si>
    <t>元婴期</t>
  </si>
  <si>
    <t>冰凤凰</t>
  </si>
  <si>
    <t>xiuxianjie_biome9</t>
  </si>
  <si>
    <r>
      <rPr>
        <sz val="11"/>
        <color theme="1"/>
        <rFont val="宋体"/>
        <charset val="134"/>
        <scheme val="minor"/>
      </rPr>
      <t>烛龙冰窟</t>
    </r>
    <r>
      <rPr>
        <b/>
        <sz val="14"/>
        <color theme="1"/>
        <rFont val="宋体"/>
        <charset val="134"/>
        <scheme val="minor"/>
      </rPr>
      <t>‌</t>
    </r>
  </si>
  <si>
    <t>冰魄寒渊</t>
  </si>
  <si>
    <t>雪凝花</t>
  </si>
  <si>
    <t>深海</t>
  </si>
  <si>
    <t>化神期</t>
  </si>
  <si>
    <t>青龙</t>
  </si>
  <si>
    <t>xiuxianjie_biome10</t>
  </si>
  <si>
    <r>
      <rPr>
        <sz val="11"/>
        <color theme="1"/>
        <rFont val="宋体"/>
        <charset val="134"/>
        <scheme val="minor"/>
      </rPr>
      <t>黑水玄渊</t>
    </r>
    <r>
      <rPr>
        <b/>
        <sz val="14"/>
        <color theme="1"/>
        <rFont val="宋体"/>
        <charset val="134"/>
        <scheme val="minor"/>
      </rPr>
      <t>‌</t>
    </r>
  </si>
  <si>
    <t>黑水玄渊‌</t>
  </si>
  <si>
    <t>鲲鹏</t>
  </si>
  <si>
    <t>菩提花</t>
  </si>
  <si>
    <t>冰灵果</t>
  </si>
  <si>
    <t>九尾狐</t>
  </si>
  <si>
    <t>血菩提</t>
  </si>
  <si>
    <t>阴凝草</t>
  </si>
  <si>
    <t>鸡冠草</t>
  </si>
  <si>
    <t>白虎</t>
  </si>
  <si>
    <t>火灵芝</t>
  </si>
  <si>
    <t>地心火芝</t>
  </si>
  <si>
    <t>腐骨灵花</t>
  </si>
  <si>
    <t>奇茸通天菊</t>
  </si>
  <si>
    <t>地心淬灵乳</t>
  </si>
  <si>
    <t>分布</t>
  </si>
  <si>
    <t>种子</t>
  </si>
  <si>
    <t>zhiwu0</t>
  </si>
  <si>
    <t>zhongzi0</t>
  </si>
  <si>
    <t>zhiwu1</t>
  </si>
  <si>
    <t>月纹果</t>
  </si>
  <si>
    <t>zhongzi1</t>
  </si>
  <si>
    <t>zhiwu2</t>
  </si>
  <si>
    <t>zhongzi2</t>
  </si>
  <si>
    <t>zhiwu3</t>
  </si>
  <si>
    <t>zhongzi3</t>
  </si>
  <si>
    <t>zhiwu4</t>
  </si>
  <si>
    <t>zhongzi4</t>
  </si>
  <si>
    <t>zhiwu5</t>
  </si>
  <si>
    <t>凝脂果</t>
  </si>
  <si>
    <t>zhongzi5</t>
  </si>
  <si>
    <t>zhiwu6</t>
  </si>
  <si>
    <t>zhongzi6</t>
  </si>
  <si>
    <t>zhiwu7</t>
  </si>
  <si>
    <r>
      <rPr>
        <sz val="11"/>
        <color theme="1"/>
        <rFont val="宋体"/>
        <charset val="134"/>
        <scheme val="minor"/>
      </rPr>
      <t>星叶松</t>
    </r>
    <r>
      <rPr>
        <sz val="10"/>
        <color rgb="FF6AAB73"/>
        <rFont val="Courier New"/>
        <charset val="134"/>
      </rPr>
      <t>-</t>
    </r>
  </si>
  <si>
    <t>zhongzi7</t>
  </si>
  <si>
    <t>zhiwu8</t>
  </si>
  <si>
    <t>冰精莲</t>
  </si>
  <si>
    <t>zhongzi8</t>
  </si>
  <si>
    <t>zhiwu9</t>
  </si>
  <si>
    <t>星叶果</t>
  </si>
  <si>
    <t>zhongzi9</t>
  </si>
  <si>
    <t>zhiwu10</t>
  </si>
  <si>
    <t>zhongzi10</t>
  </si>
  <si>
    <t>zhiwu11</t>
  </si>
  <si>
    <t>火灵莲</t>
  </si>
  <si>
    <t>zhongzi11</t>
  </si>
  <si>
    <t>zhiwu12</t>
  </si>
  <si>
    <t>地心火莲</t>
  </si>
  <si>
    <t>zhongzi12</t>
  </si>
  <si>
    <t>zhiwu13</t>
  </si>
  <si>
    <t>若灵果</t>
  </si>
  <si>
    <t>zhongzi13</t>
  </si>
  <si>
    <t>zhiwu14</t>
  </si>
  <si>
    <r>
      <rPr>
        <sz val="11"/>
        <color theme="1"/>
        <rFont val="宋体"/>
        <charset val="134"/>
        <scheme val="minor"/>
      </rPr>
      <t>若灵木</t>
    </r>
    <r>
      <rPr>
        <sz val="10"/>
        <color rgb="FF6AAB73"/>
        <rFont val="Courier New"/>
        <charset val="134"/>
      </rPr>
      <t>-</t>
    </r>
  </si>
  <si>
    <t>zhongzi14</t>
  </si>
  <si>
    <t>zhiwu15</t>
  </si>
  <si>
    <t>zhongzi15</t>
  </si>
  <si>
    <t>zhiwu16</t>
  </si>
  <si>
    <t>zhiwu17</t>
  </si>
  <si>
    <t>zhiwu18</t>
  </si>
  <si>
    <t>zhiwu19</t>
  </si>
  <si>
    <t>配方</t>
  </si>
  <si>
    <t>境界</t>
  </si>
  <si>
    <t>服用上线</t>
  </si>
  <si>
    <t>增加修为</t>
  </si>
  <si>
    <t>加寿元</t>
  </si>
  <si>
    <t>回复血量</t>
  </si>
  <si>
    <t>回复灵气</t>
  </si>
  <si>
    <t>裂石丹</t>
  </si>
  <si>
    <t>danyao0</t>
  </si>
  <si>
    <t>凝血丹</t>
  </si>
  <si>
    <t>danyao1</t>
  </si>
  <si>
    <r>
      <rPr>
        <sz val="11"/>
        <color theme="1"/>
        <rFont val="宋体"/>
        <charset val="134"/>
        <scheme val="minor"/>
      </rPr>
      <t>韧皮丹</t>
    </r>
    <r>
      <rPr>
        <sz val="11"/>
        <color theme="1"/>
        <rFont val="宋体"/>
        <charset val="134"/>
        <scheme val="minor"/>
      </rPr>
      <t>‌</t>
    </r>
  </si>
  <si>
    <t>danyao2</t>
  </si>
  <si>
    <t>聚气丹</t>
  </si>
  <si>
    <t>danyao3</t>
  </si>
  <si>
    <t>炼气丹</t>
  </si>
  <si>
    <t>danyao4</t>
  </si>
  <si>
    <t>延寿丹</t>
  </si>
  <si>
    <t>danyao5</t>
  </si>
  <si>
    <t>回春丹</t>
  </si>
  <si>
    <t>danyao6</t>
  </si>
  <si>
    <t>灵泉丹</t>
  </si>
  <si>
    <t>danyao7</t>
  </si>
  <si>
    <r>
      <rPr>
        <sz val="11"/>
        <color theme="1"/>
        <rFont val="宋体"/>
        <charset val="134"/>
        <scheme val="minor"/>
      </rPr>
      <t>破山丹</t>
    </r>
    <r>
      <rPr>
        <sz val="11"/>
        <color theme="1"/>
        <rFont val="宋体"/>
        <charset val="134"/>
        <scheme val="minor"/>
      </rPr>
      <t>‌</t>
    </r>
  </si>
  <si>
    <t>danyao8</t>
  </si>
  <si>
    <t>龟息丹</t>
  </si>
  <si>
    <t>danyao9</t>
  </si>
  <si>
    <t>玄甲丹</t>
  </si>
  <si>
    <t>danyao10</t>
  </si>
  <si>
    <r>
      <rPr>
        <sz val="11"/>
        <color theme="1"/>
        <rFont val="宋体"/>
        <charset val="134"/>
        <scheme val="minor"/>
      </rPr>
      <t>灵海丹</t>
    </r>
    <r>
      <rPr>
        <sz val="11"/>
        <color theme="1"/>
        <rFont val="宋体"/>
        <charset val="134"/>
        <scheme val="minor"/>
      </rPr>
      <t>‌</t>
    </r>
  </si>
  <si>
    <t>danyao11</t>
  </si>
  <si>
    <t>筑基丹</t>
  </si>
  <si>
    <t>danyao12</t>
  </si>
  <si>
    <t>长春丹</t>
  </si>
  <si>
    <t>danyao13</t>
  </si>
  <si>
    <t>血莲丹</t>
  </si>
  <si>
    <t>danyao14</t>
  </si>
  <si>
    <t>续灵丹</t>
  </si>
  <si>
    <t>danyao15</t>
  </si>
  <si>
    <t>惊雷丹</t>
  </si>
  <si>
    <t>danyao16</t>
  </si>
  <si>
    <t>龙血丹</t>
  </si>
  <si>
    <t>danyao17</t>
  </si>
  <si>
    <t>金刚丹‌</t>
  </si>
  <si>
    <t>danyao18</t>
  </si>
  <si>
    <t>紫府丹</t>
  </si>
  <si>
    <t>danyao19</t>
  </si>
  <si>
    <t>天尘丹</t>
  </si>
  <si>
    <t>danyao20</t>
  </si>
  <si>
    <t>驻颜丹</t>
  </si>
  <si>
    <t>danyao21</t>
  </si>
  <si>
    <t>九转还魂丹</t>
  </si>
  <si>
    <t>danyao22</t>
  </si>
  <si>
    <t>聚灵丹</t>
  </si>
  <si>
    <t>danyao23</t>
  </si>
  <si>
    <r>
      <rPr>
        <sz val="11"/>
        <color theme="1"/>
        <rFont val="宋体"/>
        <charset val="134"/>
        <scheme val="minor"/>
      </rPr>
      <t>碎星丹</t>
    </r>
    <r>
      <rPr>
        <sz val="11"/>
        <color theme="1"/>
        <rFont val="宋体"/>
        <charset val="134"/>
        <scheme val="minor"/>
      </rPr>
      <t>‌</t>
    </r>
  </si>
  <si>
    <t>danyao24</t>
  </si>
  <si>
    <t>不死金丹</t>
  </si>
  <si>
    <t>danyao25</t>
  </si>
  <si>
    <t>混元甲丹</t>
  </si>
  <si>
    <t>danyao26</t>
  </si>
  <si>
    <t>太虚丹</t>
  </si>
  <si>
    <t>danyao27</t>
  </si>
  <si>
    <r>
      <rPr>
        <sz val="11"/>
        <color theme="1"/>
        <rFont val="宋体"/>
        <charset val="134"/>
        <scheme val="minor"/>
      </rPr>
      <t>化神丹</t>
    </r>
    <r>
      <rPr>
        <sz val="11"/>
        <color theme="1"/>
        <rFont val="宋体"/>
        <charset val="134"/>
        <scheme val="minor"/>
      </rPr>
      <t>‌</t>
    </r>
  </si>
  <si>
    <t>danyao28</t>
  </si>
  <si>
    <t>万寿丹</t>
  </si>
  <si>
    <t>danyao29</t>
  </si>
  <si>
    <r>
      <rPr>
        <sz val="11"/>
        <color theme="1"/>
        <rFont val="宋体"/>
        <charset val="134"/>
        <scheme val="minor"/>
      </rPr>
      <t>涅槃丹</t>
    </r>
    <r>
      <rPr>
        <sz val="11"/>
        <color theme="1"/>
        <rFont val="宋体"/>
        <charset val="134"/>
        <scheme val="minor"/>
      </rPr>
      <t>‌</t>
    </r>
  </si>
  <si>
    <t>danyao30</t>
  </si>
  <si>
    <t>灵髓丹</t>
  </si>
  <si>
    <t>danyao31</t>
  </si>
  <si>
    <r>
      <rPr>
        <sz val="11"/>
        <color theme="1"/>
        <rFont val="宋体"/>
        <charset val="134"/>
        <scheme val="minor"/>
      </rPr>
      <t>弑神丹</t>
    </r>
    <r>
      <rPr>
        <sz val="11"/>
        <color theme="1"/>
        <rFont val="宋体"/>
        <charset val="134"/>
        <scheme val="minor"/>
      </rPr>
      <t>‌</t>
    </r>
  </si>
  <si>
    <t>danyao32</t>
  </si>
  <si>
    <t>鸿蒙丹</t>
  </si>
  <si>
    <t>danyao33</t>
  </si>
  <si>
    <r>
      <rPr>
        <sz val="11"/>
        <color theme="1"/>
        <rFont val="宋体"/>
        <charset val="134"/>
        <scheme val="minor"/>
      </rPr>
      <t>混沌甲丹</t>
    </r>
    <r>
      <rPr>
        <sz val="11"/>
        <color theme="1"/>
        <rFont val="宋体"/>
        <charset val="134"/>
        <scheme val="minor"/>
      </rPr>
      <t>‌</t>
    </r>
  </si>
  <si>
    <t>danyao34</t>
  </si>
  <si>
    <t>宇宙丹‌</t>
  </si>
  <si>
    <t>danyao35</t>
  </si>
  <si>
    <t>飞升丹</t>
  </si>
  <si>
    <t>danyao36</t>
  </si>
  <si>
    <t>长生丹</t>
  </si>
  <si>
    <t>danyao37</t>
  </si>
  <si>
    <t>轮回丹</t>
  </si>
  <si>
    <t>danyao38</t>
  </si>
  <si>
    <t>源初灵丹</t>
  </si>
  <si>
    <t>danyao39</t>
  </si>
  <si>
    <t>修为</t>
  </si>
  <si>
    <t>增幅系数</t>
  </si>
  <si>
    <t>huanlinghu</t>
  </si>
  <si>
    <t>xueyichanglang</t>
  </si>
  <si>
    <t>youmingguishou</t>
  </si>
  <si>
    <t>shayingmoxie</t>
  </si>
  <si>
    <t>huanduzhu</t>
  </si>
  <si>
    <t>zuoying</t>
  </si>
  <si>
    <t>huoqiling</t>
  </si>
  <si>
    <t>xvanbingjvxiong</t>
  </si>
  <si>
    <t>bingfenghuang</t>
  </si>
  <si>
    <t>kunpeng</t>
  </si>
  <si>
    <t>测灵珠</t>
  </si>
  <si>
    <t>celingzhu</t>
  </si>
  <si>
    <t>拿手上可观察到天地间的灵力浓度</t>
  </si>
  <si>
    <t>阵旗</t>
  </si>
  <si>
    <t>zhenqi</t>
  </si>
  <si>
    <t>操控阵法，可将聚灵阵链接至炼丹炉、炼器鼎</t>
  </si>
  <si>
    <t>蒲团</t>
  </si>
  <si>
    <t>putuan</t>
  </si>
  <si>
    <t>打坐，修炼功法、调整灵脉状态</t>
  </si>
  <si>
    <t>秘境传送符</t>
  </si>
  <si>
    <t>tpfu</t>
  </si>
  <si>
    <t>往返传送秘境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</si>
</sst>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b/>
      <sz val="10.5"/>
      <color theme="1"/>
      <name val="宋体"/>
      <charset val="134"/>
    </font>
    <font>
      <sz val="10.5"/>
      <color theme="1"/>
      <name val="Calibri"/>
      <charset val="134"/>
    </font>
    <font>
      <sz val="9.8"/>
      <color rgb="FF6AAB73"/>
      <name val="Courier New"/>
      <charset val="134"/>
    </font>
    <font>
      <sz val="9.8"/>
      <color rgb="FFBCBEC4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sz val="10"/>
      <color rgb="FF6AAB73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justify" vertical="center"/>
    </xf>
    <xf numFmtId="3" fontId="1" fillId="0" borderId="0" xfId="0" applyNumberFormat="1" applyFont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3" fontId="0" fillId="0" borderId="0" xfId="0" applyNumberFormat="1" applyAlignment="1">
      <alignment vertical="center"/>
    </xf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zoomScale="130" zoomScaleNormal="130" workbookViewId="0">
      <selection activeCell="I21" sqref="I21"/>
    </sheetView>
  </sheetViews>
  <sheetFormatPr defaultColWidth="9" defaultRowHeight="13.5" outlineLevelRow="5"/>
  <sheetData>
    <row r="1" spans="3:17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9" t="s">
        <v>13</v>
      </c>
      <c r="Q1" s="9" t="s">
        <v>14</v>
      </c>
    </row>
    <row r="2" spans="1:17">
      <c r="A2" t="s">
        <v>15</v>
      </c>
      <c r="B2" t="s">
        <v>16</v>
      </c>
      <c r="C2">
        <v>12</v>
      </c>
      <c r="D2">
        <v>5</v>
      </c>
      <c r="E2">
        <v>360</v>
      </c>
      <c r="F2">
        <v>60</v>
      </c>
      <c r="G2">
        <v>24</v>
      </c>
      <c r="H2">
        <v>12</v>
      </c>
      <c r="I2">
        <v>12</v>
      </c>
      <c r="J2">
        <v>12</v>
      </c>
      <c r="K2">
        <v>120</v>
      </c>
      <c r="L2">
        <v>12</v>
      </c>
      <c r="M2">
        <v>12</v>
      </c>
      <c r="N2">
        <v>200</v>
      </c>
      <c r="O2">
        <v>0</v>
      </c>
      <c r="P2" t="s">
        <v>17</v>
      </c>
      <c r="Q2" t="s">
        <v>18</v>
      </c>
    </row>
    <row r="3" spans="1:17">
      <c r="A3" t="s">
        <v>17</v>
      </c>
      <c r="B3" t="s">
        <v>19</v>
      </c>
      <c r="C3">
        <v>3</v>
      </c>
      <c r="D3">
        <v>10</v>
      </c>
      <c r="E3">
        <v>1000</v>
      </c>
      <c r="F3">
        <v>200</v>
      </c>
      <c r="G3">
        <v>36</v>
      </c>
      <c r="H3">
        <v>18</v>
      </c>
      <c r="I3">
        <v>12</v>
      </c>
      <c r="J3">
        <v>12</v>
      </c>
      <c r="K3">
        <v>200</v>
      </c>
      <c r="L3">
        <v>12</v>
      </c>
      <c r="M3">
        <v>12</v>
      </c>
      <c r="N3">
        <v>600</v>
      </c>
      <c r="O3">
        <v>0</v>
      </c>
      <c r="P3" t="s">
        <v>20</v>
      </c>
      <c r="Q3" t="s">
        <v>21</v>
      </c>
    </row>
    <row r="4" spans="1:17">
      <c r="A4" t="s">
        <v>20</v>
      </c>
      <c r="B4" t="s">
        <v>22</v>
      </c>
      <c r="C4">
        <v>3</v>
      </c>
      <c r="D4">
        <v>20</v>
      </c>
      <c r="E4">
        <v>2000</v>
      </c>
      <c r="F4">
        <v>800</v>
      </c>
      <c r="G4">
        <v>48</v>
      </c>
      <c r="H4">
        <v>24</v>
      </c>
      <c r="I4">
        <v>12</v>
      </c>
      <c r="J4">
        <v>12</v>
      </c>
      <c r="K4">
        <v>300</v>
      </c>
      <c r="L4">
        <v>12</v>
      </c>
      <c r="M4">
        <v>12</v>
      </c>
      <c r="N4">
        <v>1800</v>
      </c>
      <c r="O4">
        <v>0</v>
      </c>
      <c r="P4" t="s">
        <v>23</v>
      </c>
      <c r="Q4" t="s">
        <v>24</v>
      </c>
    </row>
    <row r="5" spans="1:17">
      <c r="A5" t="s">
        <v>23</v>
      </c>
      <c r="B5" t="s">
        <v>25</v>
      </c>
      <c r="C5">
        <v>3</v>
      </c>
      <c r="D5">
        <v>40</v>
      </c>
      <c r="E5">
        <v>4000</v>
      </c>
      <c r="F5">
        <v>3200</v>
      </c>
      <c r="G5">
        <v>148</v>
      </c>
      <c r="H5">
        <v>72</v>
      </c>
      <c r="I5">
        <v>12</v>
      </c>
      <c r="J5">
        <v>12</v>
      </c>
      <c r="K5">
        <v>400</v>
      </c>
      <c r="L5">
        <v>12</v>
      </c>
      <c r="M5">
        <v>12</v>
      </c>
      <c r="N5">
        <v>5400</v>
      </c>
      <c r="O5">
        <v>3</v>
      </c>
      <c r="P5" t="s">
        <v>26</v>
      </c>
      <c r="Q5" t="s">
        <v>27</v>
      </c>
    </row>
    <row r="6" spans="1:17">
      <c r="A6" t="s">
        <v>26</v>
      </c>
      <c r="B6" t="s">
        <v>28</v>
      </c>
      <c r="C6">
        <v>3</v>
      </c>
      <c r="D6">
        <v>80</v>
      </c>
      <c r="E6">
        <v>8000</v>
      </c>
      <c r="F6">
        <v>12800</v>
      </c>
      <c r="G6">
        <v>432</v>
      </c>
      <c r="H6">
        <v>216</v>
      </c>
      <c r="I6">
        <v>12</v>
      </c>
      <c r="J6">
        <v>12</v>
      </c>
      <c r="K6">
        <v>800</v>
      </c>
      <c r="L6">
        <v>12</v>
      </c>
      <c r="M6">
        <v>12</v>
      </c>
      <c r="N6">
        <v>10000</v>
      </c>
      <c r="O6">
        <v>3</v>
      </c>
      <c r="P6" t="s">
        <v>29</v>
      </c>
      <c r="Q6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zoomScale="145" zoomScaleNormal="145" workbookViewId="0">
      <selection activeCell="F1" sqref="F1:O1"/>
    </sheetView>
  </sheetViews>
  <sheetFormatPr defaultColWidth="9" defaultRowHeight="13.5" outlineLevelRow="5"/>
  <cols>
    <col min="2" max="2" width="10.3333333333333" customWidth="1"/>
  </cols>
  <sheetData>
    <row r="1" spans="3:18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9" t="s">
        <v>13</v>
      </c>
      <c r="Q1" s="10" t="s">
        <v>31</v>
      </c>
      <c r="R1" s="9" t="s">
        <v>14</v>
      </c>
    </row>
    <row r="2" spans="1:18">
      <c r="A2" t="s">
        <v>32</v>
      </c>
      <c r="B2" s="1" t="s">
        <v>33</v>
      </c>
      <c r="C2">
        <v>3</v>
      </c>
      <c r="D2">
        <v>5</v>
      </c>
      <c r="E2">
        <v>30</v>
      </c>
      <c r="F2">
        <v>5</v>
      </c>
      <c r="G2">
        <v>2</v>
      </c>
      <c r="H2">
        <v>1</v>
      </c>
      <c r="I2">
        <v>0</v>
      </c>
      <c r="J2">
        <v>0</v>
      </c>
      <c r="K2">
        <v>5</v>
      </c>
      <c r="L2">
        <v>0</v>
      </c>
      <c r="M2">
        <v>0</v>
      </c>
      <c r="N2">
        <v>0</v>
      </c>
      <c r="O2">
        <v>0</v>
      </c>
      <c r="P2" t="s">
        <v>15</v>
      </c>
      <c r="R2" t="s">
        <v>32</v>
      </c>
    </row>
    <row r="3" spans="1:18">
      <c r="A3" t="s">
        <v>34</v>
      </c>
      <c r="B3" s="1" t="s">
        <v>35</v>
      </c>
      <c r="C3">
        <v>3</v>
      </c>
      <c r="D3">
        <v>10</v>
      </c>
      <c r="E3">
        <v>60</v>
      </c>
      <c r="F3">
        <v>20</v>
      </c>
      <c r="G3">
        <v>8</v>
      </c>
      <c r="H3">
        <v>4</v>
      </c>
      <c r="I3">
        <v>0</v>
      </c>
      <c r="J3">
        <v>0</v>
      </c>
      <c r="K3">
        <v>20</v>
      </c>
      <c r="L3">
        <v>0</v>
      </c>
      <c r="M3">
        <v>0</v>
      </c>
      <c r="N3">
        <v>0</v>
      </c>
      <c r="O3">
        <v>0</v>
      </c>
      <c r="P3" t="s">
        <v>17</v>
      </c>
      <c r="Q3" t="s">
        <v>15</v>
      </c>
      <c r="R3" t="s">
        <v>34</v>
      </c>
    </row>
    <row r="4" spans="1:18">
      <c r="A4" t="s">
        <v>36</v>
      </c>
      <c r="B4" t="s">
        <v>37</v>
      </c>
      <c r="C4">
        <v>3</v>
      </c>
      <c r="D4">
        <v>15</v>
      </c>
      <c r="E4">
        <v>120</v>
      </c>
      <c r="F4">
        <v>80</v>
      </c>
      <c r="G4">
        <v>16</v>
      </c>
      <c r="H4">
        <v>8</v>
      </c>
      <c r="I4">
        <v>0</v>
      </c>
      <c r="J4">
        <v>0</v>
      </c>
      <c r="K4">
        <v>40</v>
      </c>
      <c r="L4">
        <v>0</v>
      </c>
      <c r="M4">
        <v>0</v>
      </c>
      <c r="N4">
        <v>0</v>
      </c>
      <c r="O4">
        <v>0</v>
      </c>
      <c r="P4" t="s">
        <v>20</v>
      </c>
      <c r="Q4" t="s">
        <v>17</v>
      </c>
      <c r="R4" t="s">
        <v>36</v>
      </c>
    </row>
    <row r="5" spans="1:18">
      <c r="A5" t="s">
        <v>38</v>
      </c>
      <c r="B5" s="1" t="s">
        <v>39</v>
      </c>
      <c r="C5">
        <v>3</v>
      </c>
      <c r="D5">
        <v>20</v>
      </c>
      <c r="E5">
        <v>240</v>
      </c>
      <c r="F5">
        <v>160</v>
      </c>
      <c r="G5">
        <v>32</v>
      </c>
      <c r="H5">
        <v>16</v>
      </c>
      <c r="I5">
        <v>0</v>
      </c>
      <c r="J5">
        <v>0</v>
      </c>
      <c r="K5">
        <v>80</v>
      </c>
      <c r="L5">
        <v>0</v>
      </c>
      <c r="M5">
        <v>0</v>
      </c>
      <c r="N5">
        <v>0</v>
      </c>
      <c r="O5">
        <v>0</v>
      </c>
      <c r="P5" t="s">
        <v>23</v>
      </c>
      <c r="Q5" t="s">
        <v>20</v>
      </c>
      <c r="R5" t="s">
        <v>38</v>
      </c>
    </row>
    <row r="6" spans="1:18">
      <c r="A6" t="s">
        <v>40</v>
      </c>
      <c r="B6" t="s">
        <v>41</v>
      </c>
      <c r="C6">
        <v>3</v>
      </c>
      <c r="D6">
        <v>25</v>
      </c>
      <c r="E6">
        <v>480</v>
      </c>
      <c r="F6">
        <v>320</v>
      </c>
      <c r="G6">
        <v>64</v>
      </c>
      <c r="H6">
        <v>32</v>
      </c>
      <c r="I6">
        <v>0</v>
      </c>
      <c r="J6">
        <v>0</v>
      </c>
      <c r="K6">
        <v>160</v>
      </c>
      <c r="L6">
        <v>0</v>
      </c>
      <c r="M6">
        <v>0</v>
      </c>
      <c r="N6">
        <v>0</v>
      </c>
      <c r="O6">
        <v>0</v>
      </c>
      <c r="P6" t="s">
        <v>26</v>
      </c>
      <c r="Q6" t="s">
        <v>23</v>
      </c>
      <c r="R6" t="s">
        <v>40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"/>
  <sheetViews>
    <sheetView zoomScale="160" zoomScaleNormal="160" topLeftCell="A25" workbookViewId="0">
      <selection activeCell="I41" sqref="I41"/>
    </sheetView>
  </sheetViews>
  <sheetFormatPr defaultColWidth="9" defaultRowHeight="13.5"/>
  <cols>
    <col min="2" max="2" width="9.7" customWidth="1"/>
  </cols>
  <sheetData>
    <row r="1" spans="1:12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K1" t="s">
        <v>12</v>
      </c>
      <c r="L1" t="s">
        <v>11</v>
      </c>
    </row>
    <row r="6" spans="1:1">
      <c r="A6" t="s">
        <v>3</v>
      </c>
    </row>
    <row r="7" spans="1:1">
      <c r="A7" t="s">
        <v>5</v>
      </c>
    </row>
    <row r="8" spans="1:1">
      <c r="A8" t="s">
        <v>10</v>
      </c>
    </row>
    <row r="12" spans="2:8">
      <c r="B12" t="s">
        <v>4</v>
      </c>
      <c r="D12" t="s">
        <v>6</v>
      </c>
      <c r="F12" t="s">
        <v>8</v>
      </c>
      <c r="H12" t="s">
        <v>9</v>
      </c>
    </row>
    <row r="14" spans="2:8">
      <c r="B14" t="s">
        <v>42</v>
      </c>
      <c r="D14" t="s">
        <v>43</v>
      </c>
      <c r="F14" t="s">
        <v>44</v>
      </c>
      <c r="H14" t="s">
        <v>45</v>
      </c>
    </row>
    <row r="16" spans="3:15">
      <c r="C16" t="s">
        <v>46</v>
      </c>
      <c r="D16" t="s">
        <v>47</v>
      </c>
      <c r="E16" t="s">
        <v>48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</row>
    <row r="17" spans="1:15">
      <c r="A17" t="s">
        <v>49</v>
      </c>
      <c r="B17" t="s">
        <v>50</v>
      </c>
      <c r="C17" t="s">
        <v>15</v>
      </c>
      <c r="D17">
        <v>0</v>
      </c>
      <c r="E17">
        <v>0</v>
      </c>
      <c r="F17">
        <v>5</v>
      </c>
      <c r="G17">
        <v>2</v>
      </c>
      <c r="H17">
        <v>2</v>
      </c>
      <c r="I17">
        <v>0</v>
      </c>
      <c r="J17">
        <v>0</v>
      </c>
      <c r="K17">
        <v>0</v>
      </c>
      <c r="L17">
        <v>0</v>
      </c>
      <c r="M17">
        <v>2</v>
      </c>
      <c r="N17">
        <v>0</v>
      </c>
      <c r="O17">
        <v>0</v>
      </c>
    </row>
    <row r="18" spans="2:15">
      <c r="B18" t="s">
        <v>51</v>
      </c>
      <c r="C18" t="s">
        <v>17</v>
      </c>
      <c r="D18">
        <v>0</v>
      </c>
      <c r="E18">
        <v>1</v>
      </c>
      <c r="F18">
        <v>20</v>
      </c>
      <c r="G18">
        <v>5</v>
      </c>
      <c r="H18">
        <v>4</v>
      </c>
      <c r="I18">
        <v>0</v>
      </c>
      <c r="J18">
        <v>0</v>
      </c>
      <c r="K18">
        <v>0</v>
      </c>
      <c r="L18">
        <v>0</v>
      </c>
      <c r="M18">
        <v>4</v>
      </c>
      <c r="N18">
        <v>0</v>
      </c>
      <c r="O18">
        <v>0</v>
      </c>
    </row>
    <row r="19" spans="2:15">
      <c r="B19" t="s">
        <v>52</v>
      </c>
      <c r="C19" t="s">
        <v>23</v>
      </c>
      <c r="D19">
        <v>0</v>
      </c>
      <c r="E19">
        <v>2</v>
      </c>
      <c r="F19">
        <v>100</v>
      </c>
      <c r="G19">
        <v>15</v>
      </c>
      <c r="H19">
        <v>12</v>
      </c>
      <c r="I19">
        <v>0</v>
      </c>
      <c r="J19">
        <v>0</v>
      </c>
      <c r="K19">
        <v>0</v>
      </c>
      <c r="L19">
        <v>0</v>
      </c>
      <c r="M19">
        <v>8</v>
      </c>
      <c r="N19">
        <v>0</v>
      </c>
      <c r="O19">
        <v>0</v>
      </c>
    </row>
    <row r="20" spans="2:15">
      <c r="B20" t="s">
        <v>53</v>
      </c>
      <c r="C20" t="s">
        <v>26</v>
      </c>
      <c r="D20">
        <v>0</v>
      </c>
      <c r="E20">
        <v>3</v>
      </c>
      <c r="F20">
        <v>500</v>
      </c>
      <c r="G20">
        <v>75</v>
      </c>
      <c r="H20">
        <v>36</v>
      </c>
      <c r="I20">
        <v>0</v>
      </c>
      <c r="J20">
        <v>0</v>
      </c>
      <c r="K20">
        <v>0</v>
      </c>
      <c r="L20">
        <v>0</v>
      </c>
      <c r="M20">
        <v>16</v>
      </c>
      <c r="N20">
        <v>0</v>
      </c>
      <c r="O20">
        <v>0</v>
      </c>
    </row>
    <row r="21" spans="1:15">
      <c r="A21" t="s">
        <v>54</v>
      </c>
      <c r="B21" t="s">
        <v>55</v>
      </c>
      <c r="C21" t="s">
        <v>15</v>
      </c>
      <c r="D21">
        <v>1</v>
      </c>
      <c r="E21">
        <v>0</v>
      </c>
      <c r="F21">
        <v>5</v>
      </c>
      <c r="G21">
        <v>0</v>
      </c>
      <c r="H21">
        <v>2</v>
      </c>
      <c r="I21">
        <v>2</v>
      </c>
      <c r="J21">
        <v>0</v>
      </c>
      <c r="K21">
        <v>0</v>
      </c>
      <c r="L21">
        <v>0</v>
      </c>
      <c r="M21">
        <v>2</v>
      </c>
      <c r="N21">
        <v>0</v>
      </c>
      <c r="O21">
        <v>0</v>
      </c>
    </row>
    <row r="22" spans="2:15">
      <c r="B22" t="s">
        <v>56</v>
      </c>
      <c r="C22" t="s">
        <v>17</v>
      </c>
      <c r="D22">
        <v>1</v>
      </c>
      <c r="E22">
        <v>1</v>
      </c>
      <c r="F22">
        <v>20</v>
      </c>
      <c r="G22">
        <v>0</v>
      </c>
      <c r="H22">
        <v>4</v>
      </c>
      <c r="I22">
        <v>4</v>
      </c>
      <c r="J22">
        <v>0</v>
      </c>
      <c r="K22">
        <v>0</v>
      </c>
      <c r="L22">
        <v>0</v>
      </c>
      <c r="M22">
        <v>4</v>
      </c>
      <c r="N22">
        <v>0</v>
      </c>
      <c r="O22">
        <v>0</v>
      </c>
    </row>
    <row r="23" spans="2:15">
      <c r="B23" t="s">
        <v>57</v>
      </c>
      <c r="C23" t="s">
        <v>23</v>
      </c>
      <c r="D23">
        <v>1</v>
      </c>
      <c r="E23">
        <v>2</v>
      </c>
      <c r="F23">
        <v>100</v>
      </c>
      <c r="G23">
        <v>0</v>
      </c>
      <c r="H23">
        <v>12</v>
      </c>
      <c r="I23">
        <v>8</v>
      </c>
      <c r="J23">
        <v>0</v>
      </c>
      <c r="K23">
        <v>0</v>
      </c>
      <c r="L23">
        <v>0</v>
      </c>
      <c r="M23">
        <v>8</v>
      </c>
      <c r="N23">
        <v>0</v>
      </c>
      <c r="O23">
        <v>0</v>
      </c>
    </row>
    <row r="24" spans="2:15">
      <c r="B24" t="s">
        <v>58</v>
      </c>
      <c r="C24" t="s">
        <v>26</v>
      </c>
      <c r="D24">
        <v>1</v>
      </c>
      <c r="E24">
        <v>3</v>
      </c>
      <c r="F24">
        <v>500</v>
      </c>
      <c r="G24">
        <v>0</v>
      </c>
      <c r="H24">
        <v>36</v>
      </c>
      <c r="I24">
        <v>0</v>
      </c>
      <c r="J24">
        <v>0</v>
      </c>
      <c r="K24">
        <v>16</v>
      </c>
      <c r="L24">
        <v>0</v>
      </c>
      <c r="M24">
        <v>16</v>
      </c>
      <c r="N24">
        <v>0</v>
      </c>
      <c r="O24">
        <v>0</v>
      </c>
    </row>
    <row r="25" spans="1:15">
      <c r="A25" t="s">
        <v>59</v>
      </c>
      <c r="B25" t="s">
        <v>60</v>
      </c>
      <c r="C25" t="s">
        <v>15</v>
      </c>
      <c r="D25">
        <v>2</v>
      </c>
      <c r="E25">
        <v>0</v>
      </c>
      <c r="F25">
        <v>5</v>
      </c>
      <c r="G25">
        <v>0</v>
      </c>
      <c r="H25">
        <v>2</v>
      </c>
      <c r="I25">
        <v>0</v>
      </c>
      <c r="J25">
        <v>0</v>
      </c>
      <c r="K25">
        <v>20</v>
      </c>
      <c r="L25">
        <v>0</v>
      </c>
      <c r="M25">
        <v>2</v>
      </c>
      <c r="N25">
        <v>0</v>
      </c>
      <c r="O25">
        <v>0</v>
      </c>
    </row>
    <row r="26" spans="2:15">
      <c r="B26" t="s">
        <v>61</v>
      </c>
      <c r="C26" t="s">
        <v>17</v>
      </c>
      <c r="D26">
        <v>2</v>
      </c>
      <c r="E26">
        <v>1</v>
      </c>
      <c r="F26">
        <v>20</v>
      </c>
      <c r="G26">
        <v>0</v>
      </c>
      <c r="H26">
        <v>4</v>
      </c>
      <c r="I26">
        <v>0</v>
      </c>
      <c r="J26">
        <v>0</v>
      </c>
      <c r="K26">
        <v>40</v>
      </c>
      <c r="L26">
        <v>0</v>
      </c>
      <c r="M26">
        <v>4</v>
      </c>
      <c r="N26">
        <v>0</v>
      </c>
      <c r="O26">
        <v>0</v>
      </c>
    </row>
    <row r="27" spans="2:15">
      <c r="B27" t="s">
        <v>62</v>
      </c>
      <c r="C27" t="s">
        <v>23</v>
      </c>
      <c r="D27">
        <v>2</v>
      </c>
      <c r="E27">
        <v>2</v>
      </c>
      <c r="F27">
        <v>100</v>
      </c>
      <c r="G27">
        <v>0</v>
      </c>
      <c r="H27">
        <v>12</v>
      </c>
      <c r="I27">
        <v>0</v>
      </c>
      <c r="J27">
        <v>0</v>
      </c>
      <c r="K27">
        <v>80</v>
      </c>
      <c r="L27">
        <v>0</v>
      </c>
      <c r="M27">
        <v>8</v>
      </c>
      <c r="N27">
        <v>0</v>
      </c>
      <c r="O27">
        <v>0</v>
      </c>
    </row>
    <row r="28" spans="2:15">
      <c r="B28" t="s">
        <v>63</v>
      </c>
      <c r="C28" t="s">
        <v>26</v>
      </c>
      <c r="D28">
        <v>2</v>
      </c>
      <c r="E28">
        <v>3</v>
      </c>
      <c r="F28">
        <v>500</v>
      </c>
      <c r="G28">
        <v>0</v>
      </c>
      <c r="H28">
        <v>36</v>
      </c>
      <c r="I28">
        <v>0</v>
      </c>
      <c r="J28">
        <v>0</v>
      </c>
      <c r="K28">
        <v>160</v>
      </c>
      <c r="L28">
        <v>0</v>
      </c>
      <c r="M28">
        <v>16</v>
      </c>
      <c r="N28">
        <v>0</v>
      </c>
      <c r="O28">
        <v>0</v>
      </c>
    </row>
    <row r="29" spans="1:15">
      <c r="A29" t="s">
        <v>64</v>
      </c>
      <c r="B29" t="s">
        <v>65</v>
      </c>
      <c r="C29" t="s">
        <v>15</v>
      </c>
      <c r="D29">
        <v>3</v>
      </c>
      <c r="E29">
        <v>0</v>
      </c>
      <c r="F29">
        <v>5</v>
      </c>
      <c r="G29">
        <v>0</v>
      </c>
      <c r="H29">
        <v>2</v>
      </c>
      <c r="I29">
        <v>0</v>
      </c>
      <c r="J29">
        <v>0</v>
      </c>
      <c r="K29">
        <v>0</v>
      </c>
      <c r="L29">
        <v>5</v>
      </c>
      <c r="M29">
        <v>2</v>
      </c>
      <c r="N29">
        <v>0</v>
      </c>
      <c r="O29">
        <v>0</v>
      </c>
    </row>
    <row r="30" spans="2:15">
      <c r="B30" t="s">
        <v>66</v>
      </c>
      <c r="C30" t="s">
        <v>17</v>
      </c>
      <c r="D30">
        <v>3</v>
      </c>
      <c r="E30">
        <v>1</v>
      </c>
      <c r="F30">
        <v>20</v>
      </c>
      <c r="G30">
        <v>0</v>
      </c>
      <c r="H30">
        <v>4</v>
      </c>
      <c r="I30">
        <v>0</v>
      </c>
      <c r="J30">
        <v>0</v>
      </c>
      <c r="K30">
        <v>0</v>
      </c>
      <c r="L30">
        <v>10</v>
      </c>
      <c r="M30">
        <v>4</v>
      </c>
      <c r="N30">
        <v>0</v>
      </c>
      <c r="O30">
        <v>0</v>
      </c>
    </row>
    <row r="31" spans="2:15">
      <c r="B31" t="s">
        <v>67</v>
      </c>
      <c r="C31" t="s">
        <v>23</v>
      </c>
      <c r="D31">
        <v>3</v>
      </c>
      <c r="E31">
        <v>2</v>
      </c>
      <c r="F31">
        <v>100</v>
      </c>
      <c r="G31">
        <v>0</v>
      </c>
      <c r="H31">
        <v>12</v>
      </c>
      <c r="I31">
        <v>0</v>
      </c>
      <c r="J31">
        <v>0</v>
      </c>
      <c r="K31">
        <v>0</v>
      </c>
      <c r="L31">
        <v>15</v>
      </c>
      <c r="M31">
        <v>8</v>
      </c>
      <c r="N31">
        <v>0</v>
      </c>
      <c r="O31">
        <v>0</v>
      </c>
    </row>
    <row r="32" spans="2:15">
      <c r="B32" t="s">
        <v>68</v>
      </c>
      <c r="C32" t="s">
        <v>26</v>
      </c>
      <c r="D32">
        <v>3</v>
      </c>
      <c r="E32">
        <v>3</v>
      </c>
      <c r="F32">
        <v>500</v>
      </c>
      <c r="G32">
        <v>0</v>
      </c>
      <c r="H32">
        <v>36</v>
      </c>
      <c r="I32">
        <v>0</v>
      </c>
      <c r="J32">
        <v>0</v>
      </c>
      <c r="K32">
        <v>0</v>
      </c>
      <c r="L32">
        <v>20</v>
      </c>
      <c r="M32">
        <v>16</v>
      </c>
      <c r="N32">
        <v>0</v>
      </c>
      <c r="O32">
        <v>0</v>
      </c>
    </row>
    <row r="34" spans="16:17">
      <c r="P34" t="s">
        <v>69</v>
      </c>
      <c r="Q34" t="s">
        <v>70</v>
      </c>
    </row>
    <row r="35" spans="1:17">
      <c r="A35" t="s">
        <v>49</v>
      </c>
      <c r="B35" t="s">
        <v>50</v>
      </c>
      <c r="D35" t="s">
        <v>71</v>
      </c>
      <c r="E35" t="str">
        <f>VLOOKUP(D35,A:B,2,0)</f>
        <v>xvantie0</v>
      </c>
      <c r="F35">
        <v>1379</v>
      </c>
      <c r="G35" t="s">
        <v>72</v>
      </c>
      <c r="H35" t="str">
        <f>VLOOKUP(G35,A:B,2,0)</f>
        <v>lingjin0</v>
      </c>
      <c r="I35">
        <v>2468</v>
      </c>
      <c r="M35" t="s">
        <v>73</v>
      </c>
      <c r="N35" t="str">
        <f>VLOOKUP(M35,A:B,2,0)</f>
        <v>linghe0 </v>
      </c>
      <c r="O35">
        <v>5</v>
      </c>
      <c r="P35">
        <v>40</v>
      </c>
      <c r="Q35">
        <v>60</v>
      </c>
    </row>
    <row r="36" spans="2:17">
      <c r="B36" t="s">
        <v>51</v>
      </c>
      <c r="D36" t="s">
        <v>74</v>
      </c>
      <c r="E36" t="str">
        <f t="shared" ref="E36:E42" si="0">VLOOKUP(D36,A:B,2,0)</f>
        <v>xvantie1</v>
      </c>
      <c r="F36" t="s">
        <v>75</v>
      </c>
      <c r="G36" t="s">
        <v>76</v>
      </c>
      <c r="H36" t="str">
        <f t="shared" ref="H36:H50" si="1">VLOOKUP(G36,A:B,2,0)</f>
        <v>lingjin1</v>
      </c>
      <c r="I36" t="s">
        <v>77</v>
      </c>
      <c r="M36" t="s">
        <v>78</v>
      </c>
      <c r="N36" t="str">
        <f t="shared" ref="N36:N50" si="2">VLOOKUP(M36,A:B,2,0)</f>
        <v>linghe1 </v>
      </c>
      <c r="O36">
        <v>5</v>
      </c>
      <c r="P36">
        <v>55</v>
      </c>
      <c r="Q36">
        <v>120</v>
      </c>
    </row>
    <row r="37" spans="2:17">
      <c r="B37" t="s">
        <v>52</v>
      </c>
      <c r="D37" t="s">
        <v>79</v>
      </c>
      <c r="E37" t="str">
        <f t="shared" si="0"/>
        <v>xvantie2</v>
      </c>
      <c r="F37" t="s">
        <v>80</v>
      </c>
      <c r="G37" t="s">
        <v>81</v>
      </c>
      <c r="H37" t="str">
        <f t="shared" si="1"/>
        <v>lingjin2</v>
      </c>
      <c r="I37" t="s">
        <v>82</v>
      </c>
      <c r="M37" t="s">
        <v>83</v>
      </c>
      <c r="N37" t="str">
        <f t="shared" si="2"/>
        <v>linghe2 </v>
      </c>
      <c r="O37">
        <v>5</v>
      </c>
      <c r="P37">
        <v>80</v>
      </c>
      <c r="Q37">
        <v>240</v>
      </c>
    </row>
    <row r="38" spans="2:17">
      <c r="B38" t="s">
        <v>53</v>
      </c>
      <c r="D38" t="s">
        <v>84</v>
      </c>
      <c r="E38" t="str">
        <f t="shared" si="0"/>
        <v>xvantie3</v>
      </c>
      <c r="F38" t="s">
        <v>85</v>
      </c>
      <c r="G38" t="s">
        <v>86</v>
      </c>
      <c r="H38" t="str">
        <f t="shared" si="1"/>
        <v>lingjin3</v>
      </c>
      <c r="I38" t="s">
        <v>87</v>
      </c>
      <c r="M38" t="s">
        <v>88</v>
      </c>
      <c r="N38" t="str">
        <f t="shared" si="2"/>
        <v>linghe3 </v>
      </c>
      <c r="O38">
        <v>5</v>
      </c>
      <c r="P38">
        <v>120</v>
      </c>
      <c r="Q38">
        <v>480</v>
      </c>
    </row>
    <row r="39" spans="1:17">
      <c r="A39" t="s">
        <v>54</v>
      </c>
      <c r="B39" t="s">
        <v>55</v>
      </c>
      <c r="D39" t="s">
        <v>71</v>
      </c>
      <c r="E39" t="str">
        <f t="shared" si="0"/>
        <v>xvantie0</v>
      </c>
      <c r="F39">
        <v>13</v>
      </c>
      <c r="G39" t="s">
        <v>72</v>
      </c>
      <c r="H39" t="str">
        <f t="shared" si="1"/>
        <v>lingjin0</v>
      </c>
      <c r="I39">
        <v>79</v>
      </c>
      <c r="J39" t="s">
        <v>89</v>
      </c>
      <c r="K39" t="str">
        <f>VLOOKUP(J39,A:B,2,0)</f>
        <v>lingyv0 </v>
      </c>
      <c r="L39">
        <v>2468</v>
      </c>
      <c r="M39" t="s">
        <v>73</v>
      </c>
      <c r="N39" t="str">
        <f t="shared" si="2"/>
        <v>linghe0 </v>
      </c>
      <c r="O39">
        <v>5</v>
      </c>
      <c r="P39">
        <v>40</v>
      </c>
      <c r="Q39">
        <v>60</v>
      </c>
    </row>
    <row r="40" spans="2:17">
      <c r="B40" t="s">
        <v>56</v>
      </c>
      <c r="D40" t="s">
        <v>74</v>
      </c>
      <c r="E40" t="str">
        <f t="shared" si="0"/>
        <v>xvantie1</v>
      </c>
      <c r="F40" t="s">
        <v>75</v>
      </c>
      <c r="G40" t="s">
        <v>76</v>
      </c>
      <c r="H40" t="str">
        <f t="shared" si="1"/>
        <v>lingjin1</v>
      </c>
      <c r="I40" t="s">
        <v>77</v>
      </c>
      <c r="J40" t="s">
        <v>90</v>
      </c>
      <c r="K40" t="str">
        <f t="shared" ref="K40:K50" si="3">VLOOKUP(J40,A:B,2,0)</f>
        <v>lingyv1 </v>
      </c>
      <c r="M40" t="s">
        <v>78</v>
      </c>
      <c r="N40" t="str">
        <f t="shared" si="2"/>
        <v>linghe1 </v>
      </c>
      <c r="O40">
        <v>5</v>
      </c>
      <c r="P40">
        <v>55</v>
      </c>
      <c r="Q40">
        <v>120</v>
      </c>
    </row>
    <row r="41" spans="2:17">
      <c r="B41" t="s">
        <v>57</v>
      </c>
      <c r="D41" t="s">
        <v>79</v>
      </c>
      <c r="E41" t="str">
        <f t="shared" si="0"/>
        <v>xvantie2</v>
      </c>
      <c r="F41" t="s">
        <v>80</v>
      </c>
      <c r="G41" t="s">
        <v>81</v>
      </c>
      <c r="H41" t="str">
        <f t="shared" si="1"/>
        <v>lingjin2</v>
      </c>
      <c r="I41" t="s">
        <v>82</v>
      </c>
      <c r="J41" t="s">
        <v>91</v>
      </c>
      <c r="K41" t="str">
        <f t="shared" si="3"/>
        <v>lingyv2 </v>
      </c>
      <c r="M41" t="s">
        <v>83</v>
      </c>
      <c r="N41" t="str">
        <f t="shared" si="2"/>
        <v>linghe2 </v>
      </c>
      <c r="O41">
        <v>5</v>
      </c>
      <c r="P41">
        <v>80</v>
      </c>
      <c r="Q41">
        <v>240</v>
      </c>
    </row>
    <row r="42" spans="2:17">
      <c r="B42" t="s">
        <v>58</v>
      </c>
      <c r="D42" t="s">
        <v>84</v>
      </c>
      <c r="E42" t="str">
        <f t="shared" si="0"/>
        <v>xvantie3</v>
      </c>
      <c r="F42" t="s">
        <v>85</v>
      </c>
      <c r="G42" t="s">
        <v>86</v>
      </c>
      <c r="H42" t="str">
        <f t="shared" si="1"/>
        <v>lingjin3</v>
      </c>
      <c r="I42" t="s">
        <v>87</v>
      </c>
      <c r="J42" t="s">
        <v>92</v>
      </c>
      <c r="K42" t="str">
        <f t="shared" si="3"/>
        <v>lingyv3 </v>
      </c>
      <c r="M42" t="s">
        <v>88</v>
      </c>
      <c r="N42" t="str">
        <f t="shared" si="2"/>
        <v>linghe3 </v>
      </c>
      <c r="O42">
        <v>5</v>
      </c>
      <c r="P42">
        <v>120</v>
      </c>
      <c r="Q42">
        <v>480</v>
      </c>
    </row>
    <row r="43" spans="1:17">
      <c r="A43" t="s">
        <v>59</v>
      </c>
      <c r="B43" t="s">
        <v>60</v>
      </c>
      <c r="G43" t="s">
        <v>72</v>
      </c>
      <c r="H43" t="str">
        <f t="shared" si="1"/>
        <v>lingjin0</v>
      </c>
      <c r="I43">
        <v>1379</v>
      </c>
      <c r="J43" t="s">
        <v>89</v>
      </c>
      <c r="K43" t="str">
        <f t="shared" si="3"/>
        <v>lingyv0 </v>
      </c>
      <c r="L43">
        <v>2468</v>
      </c>
      <c r="M43" t="s">
        <v>73</v>
      </c>
      <c r="N43" t="str">
        <f t="shared" si="2"/>
        <v>linghe0 </v>
      </c>
      <c r="O43">
        <v>5</v>
      </c>
      <c r="P43">
        <v>40</v>
      </c>
      <c r="Q43">
        <v>60</v>
      </c>
    </row>
    <row r="44" spans="2:17">
      <c r="B44" t="s">
        <v>61</v>
      </c>
      <c r="G44" t="s">
        <v>76</v>
      </c>
      <c r="H44" t="str">
        <f t="shared" si="1"/>
        <v>lingjin1</v>
      </c>
      <c r="I44" t="s">
        <v>75</v>
      </c>
      <c r="J44" t="s">
        <v>90</v>
      </c>
      <c r="K44" t="str">
        <f t="shared" si="3"/>
        <v>lingyv1 </v>
      </c>
      <c r="L44" t="s">
        <v>77</v>
      </c>
      <c r="M44" t="s">
        <v>78</v>
      </c>
      <c r="N44" t="str">
        <f t="shared" si="2"/>
        <v>linghe1 </v>
      </c>
      <c r="O44">
        <v>5</v>
      </c>
      <c r="P44">
        <v>55</v>
      </c>
      <c r="Q44">
        <v>120</v>
      </c>
    </row>
    <row r="45" spans="2:17">
      <c r="B45" t="s">
        <v>62</v>
      </c>
      <c r="G45" t="s">
        <v>81</v>
      </c>
      <c r="H45" t="str">
        <f t="shared" si="1"/>
        <v>lingjin2</v>
      </c>
      <c r="I45" t="s">
        <v>80</v>
      </c>
      <c r="J45" t="s">
        <v>91</v>
      </c>
      <c r="K45" t="str">
        <f t="shared" si="3"/>
        <v>lingyv2 </v>
      </c>
      <c r="L45" t="s">
        <v>82</v>
      </c>
      <c r="M45" t="s">
        <v>83</v>
      </c>
      <c r="N45" t="str">
        <f t="shared" si="2"/>
        <v>linghe2 </v>
      </c>
      <c r="O45">
        <v>5</v>
      </c>
      <c r="P45">
        <v>80</v>
      </c>
      <c r="Q45">
        <v>240</v>
      </c>
    </row>
    <row r="46" spans="2:17">
      <c r="B46" t="s">
        <v>63</v>
      </c>
      <c r="G46" t="s">
        <v>86</v>
      </c>
      <c r="H46" t="str">
        <f t="shared" si="1"/>
        <v>lingjin3</v>
      </c>
      <c r="I46" t="s">
        <v>85</v>
      </c>
      <c r="J46" t="s">
        <v>92</v>
      </c>
      <c r="K46" t="str">
        <f t="shared" si="3"/>
        <v>lingyv3 </v>
      </c>
      <c r="L46" t="s">
        <v>87</v>
      </c>
      <c r="M46" t="s">
        <v>88</v>
      </c>
      <c r="N46" t="str">
        <f t="shared" si="2"/>
        <v>linghe3 </v>
      </c>
      <c r="O46">
        <v>5</v>
      </c>
      <c r="P46">
        <v>120</v>
      </c>
      <c r="Q46">
        <v>480</v>
      </c>
    </row>
    <row r="47" spans="1:17">
      <c r="A47" t="s">
        <v>64</v>
      </c>
      <c r="B47" t="s">
        <v>65</v>
      </c>
      <c r="G47" t="s">
        <v>72</v>
      </c>
      <c r="H47" t="str">
        <f t="shared" si="1"/>
        <v>lingjin0</v>
      </c>
      <c r="I47">
        <v>1379</v>
      </c>
      <c r="J47" t="s">
        <v>93</v>
      </c>
      <c r="K47" t="str">
        <f t="shared" si="3"/>
        <v>lingmu0 </v>
      </c>
      <c r="L47">
        <v>2468</v>
      </c>
      <c r="M47" t="s">
        <v>73</v>
      </c>
      <c r="N47" t="str">
        <f t="shared" si="2"/>
        <v>linghe0 </v>
      </c>
      <c r="O47">
        <v>5</v>
      </c>
      <c r="P47">
        <v>40</v>
      </c>
      <c r="Q47">
        <v>60</v>
      </c>
    </row>
    <row r="48" spans="2:17">
      <c r="B48" t="s">
        <v>66</v>
      </c>
      <c r="G48" t="s">
        <v>76</v>
      </c>
      <c r="H48" t="str">
        <f t="shared" si="1"/>
        <v>lingjin1</v>
      </c>
      <c r="I48" t="s">
        <v>75</v>
      </c>
      <c r="J48" t="s">
        <v>94</v>
      </c>
      <c r="K48" t="str">
        <f t="shared" si="3"/>
        <v>lingmu1 </v>
      </c>
      <c r="L48" t="s">
        <v>77</v>
      </c>
      <c r="M48" t="s">
        <v>78</v>
      </c>
      <c r="N48" t="str">
        <f t="shared" si="2"/>
        <v>linghe1 </v>
      </c>
      <c r="O48">
        <v>5</v>
      </c>
      <c r="P48">
        <v>55</v>
      </c>
      <c r="Q48">
        <v>120</v>
      </c>
    </row>
    <row r="49" spans="2:17">
      <c r="B49" t="s">
        <v>67</v>
      </c>
      <c r="G49" t="s">
        <v>81</v>
      </c>
      <c r="H49" t="str">
        <f t="shared" si="1"/>
        <v>lingjin2</v>
      </c>
      <c r="I49" t="s">
        <v>80</v>
      </c>
      <c r="J49" t="s">
        <v>95</v>
      </c>
      <c r="K49" t="str">
        <f t="shared" si="3"/>
        <v>lingmu2 </v>
      </c>
      <c r="L49" t="s">
        <v>82</v>
      </c>
      <c r="M49" t="s">
        <v>83</v>
      </c>
      <c r="N49" t="str">
        <f t="shared" si="2"/>
        <v>linghe2 </v>
      </c>
      <c r="O49">
        <v>5</v>
      </c>
      <c r="P49">
        <v>80</v>
      </c>
      <c r="Q49">
        <v>240</v>
      </c>
    </row>
    <row r="50" spans="2:17">
      <c r="B50" t="s">
        <v>68</v>
      </c>
      <c r="G50" t="s">
        <v>86</v>
      </c>
      <c r="H50" t="str">
        <f t="shared" si="1"/>
        <v>lingjin3</v>
      </c>
      <c r="I50" t="s">
        <v>85</v>
      </c>
      <c r="J50" t="s">
        <v>96</v>
      </c>
      <c r="K50" t="str">
        <f t="shared" si="3"/>
        <v>lingmu3 </v>
      </c>
      <c r="L50" t="s">
        <v>87</v>
      </c>
      <c r="M50" t="s">
        <v>88</v>
      </c>
      <c r="N50" t="str">
        <f t="shared" si="2"/>
        <v>linghe3 </v>
      </c>
      <c r="O50">
        <v>5</v>
      </c>
      <c r="P50">
        <v>120</v>
      </c>
      <c r="Q50">
        <v>480</v>
      </c>
    </row>
    <row r="61" spans="1:2">
      <c r="A61" t="s">
        <v>73</v>
      </c>
      <c r="B61" t="s">
        <v>97</v>
      </c>
    </row>
    <row r="62" spans="1:2">
      <c r="A62" t="s">
        <v>78</v>
      </c>
      <c r="B62" t="s">
        <v>98</v>
      </c>
    </row>
    <row r="63" spans="1:2">
      <c r="A63" t="s">
        <v>83</v>
      </c>
      <c r="B63" t="s">
        <v>99</v>
      </c>
    </row>
    <row r="64" spans="1:2">
      <c r="A64" t="s">
        <v>88</v>
      </c>
      <c r="B64" t="s">
        <v>100</v>
      </c>
    </row>
    <row r="65" spans="1:2">
      <c r="A65" t="s">
        <v>71</v>
      </c>
      <c r="B65" t="s">
        <v>101</v>
      </c>
    </row>
    <row r="66" spans="1:2">
      <c r="A66" t="s">
        <v>74</v>
      </c>
      <c r="B66" t="s">
        <v>102</v>
      </c>
    </row>
    <row r="67" spans="1:2">
      <c r="A67" t="s">
        <v>79</v>
      </c>
      <c r="B67" t="s">
        <v>103</v>
      </c>
    </row>
    <row r="68" spans="1:2">
      <c r="A68" t="s">
        <v>84</v>
      </c>
      <c r="B68" t="s">
        <v>104</v>
      </c>
    </row>
    <row r="69" spans="1:2">
      <c r="A69" t="s">
        <v>72</v>
      </c>
      <c r="B69" t="s">
        <v>105</v>
      </c>
    </row>
    <row r="70" spans="1:2">
      <c r="A70" t="s">
        <v>76</v>
      </c>
      <c r="B70" t="s">
        <v>106</v>
      </c>
    </row>
    <row r="71" spans="1:2">
      <c r="A71" t="s">
        <v>81</v>
      </c>
      <c r="B71" t="s">
        <v>107</v>
      </c>
    </row>
    <row r="72" spans="1:2">
      <c r="A72" t="s">
        <v>86</v>
      </c>
      <c r="B72" t="s">
        <v>108</v>
      </c>
    </row>
    <row r="73" spans="1:2">
      <c r="A73" t="s">
        <v>89</v>
      </c>
      <c r="B73" t="s">
        <v>109</v>
      </c>
    </row>
    <row r="74" spans="1:2">
      <c r="A74" t="s">
        <v>90</v>
      </c>
      <c r="B74" t="s">
        <v>110</v>
      </c>
    </row>
    <row r="75" spans="1:2">
      <c r="A75" t="s">
        <v>91</v>
      </c>
      <c r="B75" t="s">
        <v>111</v>
      </c>
    </row>
    <row r="76" spans="1:2">
      <c r="A76" t="s">
        <v>92</v>
      </c>
      <c r="B76" t="s">
        <v>112</v>
      </c>
    </row>
    <row r="77" spans="1:2">
      <c r="A77" t="s">
        <v>93</v>
      </c>
      <c r="B77" t="s">
        <v>113</v>
      </c>
    </row>
    <row r="78" spans="1:2">
      <c r="A78" t="s">
        <v>94</v>
      </c>
      <c r="B78" t="s">
        <v>114</v>
      </c>
    </row>
    <row r="79" spans="1:2">
      <c r="A79" t="s">
        <v>95</v>
      </c>
      <c r="B79" t="s">
        <v>115</v>
      </c>
    </row>
    <row r="80" spans="1:2">
      <c r="A80" t="s">
        <v>96</v>
      </c>
      <c r="B80" t="s">
        <v>116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zoomScale="140" zoomScaleNormal="140" workbookViewId="0">
      <selection activeCell="H18" sqref="H18"/>
    </sheetView>
  </sheetViews>
  <sheetFormatPr defaultColWidth="9" defaultRowHeight="13.5" outlineLevelCol="2"/>
  <sheetData>
    <row r="1" spans="2:2">
      <c r="B1" t="s">
        <v>117</v>
      </c>
    </row>
    <row r="2" spans="1:3">
      <c r="A2" t="s">
        <v>73</v>
      </c>
      <c r="B2">
        <v>0</v>
      </c>
      <c r="C2" t="s">
        <v>97</v>
      </c>
    </row>
    <row r="3" spans="1:3">
      <c r="A3" t="s">
        <v>78</v>
      </c>
      <c r="B3">
        <v>1</v>
      </c>
      <c r="C3" t="s">
        <v>98</v>
      </c>
    </row>
    <row r="4" spans="1:3">
      <c r="A4" t="s">
        <v>83</v>
      </c>
      <c r="B4">
        <v>2</v>
      </c>
      <c r="C4" t="s">
        <v>99</v>
      </c>
    </row>
    <row r="5" spans="1:3">
      <c r="A5" t="s">
        <v>88</v>
      </c>
      <c r="B5">
        <v>3</v>
      </c>
      <c r="C5" t="s">
        <v>100</v>
      </c>
    </row>
    <row r="6" spans="1:3">
      <c r="A6" t="s">
        <v>71</v>
      </c>
      <c r="B6">
        <v>4</v>
      </c>
      <c r="C6" t="s">
        <v>101</v>
      </c>
    </row>
    <row r="7" spans="1:3">
      <c r="A7" t="s">
        <v>74</v>
      </c>
      <c r="B7">
        <v>5</v>
      </c>
      <c r="C7" t="s">
        <v>102</v>
      </c>
    </row>
    <row r="8" spans="1:3">
      <c r="A8" t="s">
        <v>79</v>
      </c>
      <c r="B8">
        <v>6</v>
      </c>
      <c r="C8" t="s">
        <v>103</v>
      </c>
    </row>
    <row r="9" spans="1:3">
      <c r="A9" t="s">
        <v>84</v>
      </c>
      <c r="B9">
        <v>7</v>
      </c>
      <c r="C9" t="s">
        <v>104</v>
      </c>
    </row>
    <row r="10" spans="1:3">
      <c r="A10" t="s">
        <v>72</v>
      </c>
      <c r="B10">
        <v>8</v>
      </c>
      <c r="C10" t="s">
        <v>105</v>
      </c>
    </row>
    <row r="11" spans="1:3">
      <c r="A11" t="s">
        <v>76</v>
      </c>
      <c r="B11">
        <v>9</v>
      </c>
      <c r="C11" t="s">
        <v>106</v>
      </c>
    </row>
    <row r="12" spans="1:3">
      <c r="A12" t="s">
        <v>81</v>
      </c>
      <c r="B12">
        <v>10</v>
      </c>
      <c r="C12" t="s">
        <v>107</v>
      </c>
    </row>
    <row r="13" spans="1:3">
      <c r="A13" t="s">
        <v>86</v>
      </c>
      <c r="B13">
        <v>11</v>
      </c>
      <c r="C13" t="s">
        <v>108</v>
      </c>
    </row>
    <row r="14" spans="1:3">
      <c r="A14" t="s">
        <v>89</v>
      </c>
      <c r="B14">
        <v>12</v>
      </c>
      <c r="C14" t="s">
        <v>109</v>
      </c>
    </row>
    <row r="15" spans="1:3">
      <c r="A15" t="s">
        <v>90</v>
      </c>
      <c r="B15">
        <v>13</v>
      </c>
      <c r="C15" t="s">
        <v>110</v>
      </c>
    </row>
    <row r="16" spans="1:3">
      <c r="A16" t="s">
        <v>91</v>
      </c>
      <c r="B16">
        <v>14</v>
      </c>
      <c r="C16" t="s">
        <v>111</v>
      </c>
    </row>
    <row r="17" spans="1:3">
      <c r="A17" t="s">
        <v>92</v>
      </c>
      <c r="B17">
        <v>15</v>
      </c>
      <c r="C17" t="s">
        <v>112</v>
      </c>
    </row>
    <row r="18" spans="1:3">
      <c r="A18" t="s">
        <v>93</v>
      </c>
      <c r="B18">
        <v>16</v>
      </c>
      <c r="C18" t="s">
        <v>113</v>
      </c>
    </row>
    <row r="19" spans="1:3">
      <c r="A19" t="s">
        <v>94</v>
      </c>
      <c r="B19">
        <v>17</v>
      </c>
      <c r="C19" t="s">
        <v>114</v>
      </c>
    </row>
    <row r="20" spans="1:3">
      <c r="A20" t="s">
        <v>118</v>
      </c>
      <c r="B20">
        <v>18</v>
      </c>
      <c r="C20" t="s">
        <v>115</v>
      </c>
    </row>
    <row r="21" spans="1:3">
      <c r="A21" t="s">
        <v>119</v>
      </c>
      <c r="B21">
        <v>19</v>
      </c>
      <c r="C21" t="s">
        <v>116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zoomScale="140" zoomScaleNormal="140" workbookViewId="0">
      <selection activeCell="B2" sqref="B2:B12"/>
    </sheetView>
  </sheetViews>
  <sheetFormatPr defaultColWidth="9" defaultRowHeight="13.5"/>
  <sheetData>
    <row r="1" spans="4:19">
      <c r="D1" t="s">
        <v>120</v>
      </c>
      <c r="N1" t="s">
        <v>117</v>
      </c>
      <c r="P1" s="5" t="s">
        <v>117</v>
      </c>
      <c r="Q1" s="5"/>
      <c r="R1" s="5" t="s">
        <v>121</v>
      </c>
      <c r="S1" s="5" t="s">
        <v>122</v>
      </c>
    </row>
    <row r="2" ht="25.5" spans="1:19">
      <c r="A2" t="s">
        <v>123</v>
      </c>
      <c r="B2" s="3" t="s">
        <v>124</v>
      </c>
      <c r="C2" s="3" t="s">
        <v>125</v>
      </c>
      <c r="D2" t="s">
        <v>126</v>
      </c>
      <c r="F2" t="s">
        <v>127</v>
      </c>
      <c r="G2" t="s">
        <v>128</v>
      </c>
      <c r="H2" s="1" t="s">
        <v>129</v>
      </c>
      <c r="I2" s="3" t="s">
        <v>130</v>
      </c>
      <c r="J2" t="s">
        <v>89</v>
      </c>
      <c r="M2" t="s">
        <v>73</v>
      </c>
      <c r="N2">
        <v>0</v>
      </c>
      <c r="O2" t="s">
        <v>97</v>
      </c>
      <c r="P2" s="5">
        <v>0</v>
      </c>
      <c r="Q2" s="5" t="s">
        <v>131</v>
      </c>
      <c r="R2" s="5">
        <v>30</v>
      </c>
      <c r="S2" s="5">
        <v>1</v>
      </c>
    </row>
    <row r="3" ht="18.75" spans="1:19">
      <c r="A3" t="s">
        <v>132</v>
      </c>
      <c r="B3" s="3" t="s">
        <v>124</v>
      </c>
      <c r="C3" s="3" t="s">
        <v>133</v>
      </c>
      <c r="D3" t="s">
        <v>134</v>
      </c>
      <c r="F3" s="6" t="s">
        <v>135</v>
      </c>
      <c r="G3" t="s">
        <v>136</v>
      </c>
      <c r="H3" s="1" t="s">
        <v>137</v>
      </c>
      <c r="I3" s="3"/>
      <c r="J3" t="s">
        <v>138</v>
      </c>
      <c r="K3" t="s">
        <v>93</v>
      </c>
      <c r="M3" t="s">
        <v>78</v>
      </c>
      <c r="N3">
        <v>1</v>
      </c>
      <c r="O3" t="s">
        <v>98</v>
      </c>
      <c r="P3" s="5">
        <v>1</v>
      </c>
      <c r="Q3" s="5" t="s">
        <v>139</v>
      </c>
      <c r="R3" s="5">
        <v>33</v>
      </c>
      <c r="S3" s="5">
        <v>1</v>
      </c>
    </row>
    <row r="4" spans="1:19">
      <c r="A4" t="s">
        <v>140</v>
      </c>
      <c r="B4" s="3" t="s">
        <v>124</v>
      </c>
      <c r="C4" s="3" t="s">
        <v>141</v>
      </c>
      <c r="D4" t="s">
        <v>142</v>
      </c>
      <c r="F4" t="s">
        <v>143</v>
      </c>
      <c r="G4" t="s">
        <v>144</v>
      </c>
      <c r="H4" s="1" t="s">
        <v>145</v>
      </c>
      <c r="I4" s="3"/>
      <c r="J4" t="s">
        <v>72</v>
      </c>
      <c r="K4" t="s">
        <v>94</v>
      </c>
      <c r="M4" t="s">
        <v>83</v>
      </c>
      <c r="N4">
        <v>2</v>
      </c>
      <c r="O4" t="s">
        <v>99</v>
      </c>
      <c r="P4" s="5">
        <v>2</v>
      </c>
      <c r="Q4" s="5" t="s">
        <v>146</v>
      </c>
      <c r="R4" s="5">
        <v>32</v>
      </c>
      <c r="S4" s="5">
        <v>1</v>
      </c>
    </row>
    <row r="5" ht="18.75" spans="1:19">
      <c r="A5" t="s">
        <v>147</v>
      </c>
      <c r="B5" s="3" t="s">
        <v>148</v>
      </c>
      <c r="C5" s="3" t="s">
        <v>149</v>
      </c>
      <c r="D5" t="s">
        <v>150</v>
      </c>
      <c r="F5" s="6" t="s">
        <v>151</v>
      </c>
      <c r="G5" t="s">
        <v>152</v>
      </c>
      <c r="H5" s="1" t="s">
        <v>153</v>
      </c>
      <c r="I5" s="3"/>
      <c r="J5" t="s">
        <v>74</v>
      </c>
      <c r="K5" s="3"/>
      <c r="M5" t="s">
        <v>88</v>
      </c>
      <c r="N5">
        <v>3</v>
      </c>
      <c r="O5" t="s">
        <v>100</v>
      </c>
      <c r="P5" s="5">
        <v>3</v>
      </c>
      <c r="Q5" s="5" t="s">
        <v>154</v>
      </c>
      <c r="R5" s="5">
        <v>31</v>
      </c>
      <c r="S5" s="5">
        <v>1</v>
      </c>
    </row>
    <row r="6" ht="18.75" spans="1:19">
      <c r="A6" t="s">
        <v>155</v>
      </c>
      <c r="B6" s="3" t="s">
        <v>148</v>
      </c>
      <c r="C6" s="3" t="s">
        <v>156</v>
      </c>
      <c r="D6" t="s">
        <v>157</v>
      </c>
      <c r="F6" s="6" t="s">
        <v>158</v>
      </c>
      <c r="G6" t="s">
        <v>159</v>
      </c>
      <c r="H6" s="1" t="s">
        <v>160</v>
      </c>
      <c r="J6" t="s">
        <v>76</v>
      </c>
      <c r="M6" t="s">
        <v>138</v>
      </c>
      <c r="N6">
        <v>4</v>
      </c>
      <c r="O6" t="s">
        <v>101</v>
      </c>
      <c r="P6" s="5">
        <v>4</v>
      </c>
      <c r="Q6" s="5" t="s">
        <v>161</v>
      </c>
      <c r="R6" s="5">
        <v>44</v>
      </c>
      <c r="S6" s="5">
        <v>2</v>
      </c>
    </row>
    <row r="7" ht="18.75" spans="1:19">
      <c r="A7" t="s">
        <v>162</v>
      </c>
      <c r="B7" s="3" t="s">
        <v>148</v>
      </c>
      <c r="C7" s="3" t="s">
        <v>163</v>
      </c>
      <c r="D7" t="s">
        <v>164</v>
      </c>
      <c r="F7" s="6" t="s">
        <v>165</v>
      </c>
      <c r="G7" t="s">
        <v>166</v>
      </c>
      <c r="H7" s="5" t="s">
        <v>167</v>
      </c>
      <c r="J7" t="s">
        <v>90</v>
      </c>
      <c r="K7" t="s">
        <v>95</v>
      </c>
      <c r="M7" t="s">
        <v>74</v>
      </c>
      <c r="N7">
        <v>5</v>
      </c>
      <c r="O7" t="s">
        <v>102</v>
      </c>
      <c r="P7" s="5">
        <v>5</v>
      </c>
      <c r="Q7" s="5" t="s">
        <v>168</v>
      </c>
      <c r="R7" s="5">
        <v>39</v>
      </c>
      <c r="S7" s="5">
        <v>2</v>
      </c>
    </row>
    <row r="8" ht="18.75" spans="1:19">
      <c r="A8" t="s">
        <v>169</v>
      </c>
      <c r="B8" s="3" t="s">
        <v>170</v>
      </c>
      <c r="C8" t="s">
        <v>171</v>
      </c>
      <c r="D8" t="s">
        <v>172</v>
      </c>
      <c r="F8" s="6" t="s">
        <v>173</v>
      </c>
      <c r="G8" t="s">
        <v>174</v>
      </c>
      <c r="H8" s="1" t="s">
        <v>175</v>
      </c>
      <c r="I8" s="3"/>
      <c r="J8" t="s">
        <v>79</v>
      </c>
      <c r="M8" t="s">
        <v>79</v>
      </c>
      <c r="N8">
        <v>6</v>
      </c>
      <c r="O8" t="s">
        <v>103</v>
      </c>
      <c r="P8" s="5">
        <v>6</v>
      </c>
      <c r="Q8" s="5" t="s">
        <v>176</v>
      </c>
      <c r="R8" s="5">
        <v>40</v>
      </c>
      <c r="S8" s="5">
        <v>2</v>
      </c>
    </row>
    <row r="9" ht="18.75" spans="1:19">
      <c r="A9" t="s">
        <v>177</v>
      </c>
      <c r="B9" s="3" t="s">
        <v>170</v>
      </c>
      <c r="C9" s="3" t="s">
        <v>178</v>
      </c>
      <c r="D9" t="s">
        <v>179</v>
      </c>
      <c r="F9" s="6" t="s">
        <v>180</v>
      </c>
      <c r="G9" t="s">
        <v>181</v>
      </c>
      <c r="H9" s="3" t="s">
        <v>182</v>
      </c>
      <c r="I9" s="3"/>
      <c r="J9" t="s">
        <v>91</v>
      </c>
      <c r="M9" t="s">
        <v>84</v>
      </c>
      <c r="N9">
        <v>7</v>
      </c>
      <c r="O9" t="s">
        <v>104</v>
      </c>
      <c r="P9" s="5">
        <v>7</v>
      </c>
      <c r="Q9" s="5" t="s">
        <v>183</v>
      </c>
      <c r="R9" s="5">
        <v>42</v>
      </c>
      <c r="S9" s="5">
        <v>2</v>
      </c>
    </row>
    <row r="10" ht="18.75" spans="1:19">
      <c r="A10" t="s">
        <v>184</v>
      </c>
      <c r="B10" s="3" t="s">
        <v>170</v>
      </c>
      <c r="C10" s="3" t="s">
        <v>185</v>
      </c>
      <c r="D10" t="s">
        <v>186</v>
      </c>
      <c r="F10" s="6" t="s">
        <v>187</v>
      </c>
      <c r="G10" t="s">
        <v>188</v>
      </c>
      <c r="H10" s="1" t="s">
        <v>189</v>
      </c>
      <c r="I10" s="3"/>
      <c r="J10" t="s">
        <v>81</v>
      </c>
      <c r="M10" t="s">
        <v>72</v>
      </c>
      <c r="N10">
        <v>8</v>
      </c>
      <c r="O10" t="s">
        <v>105</v>
      </c>
      <c r="P10" s="5">
        <v>8</v>
      </c>
      <c r="Q10" s="5" t="s">
        <v>190</v>
      </c>
      <c r="R10" s="5">
        <v>51</v>
      </c>
      <c r="S10" s="5">
        <v>3</v>
      </c>
    </row>
    <row r="11" ht="18.75" spans="1:19">
      <c r="A11" t="s">
        <v>191</v>
      </c>
      <c r="B11" s="3" t="s">
        <v>192</v>
      </c>
      <c r="C11" s="3" t="s">
        <v>193</v>
      </c>
      <c r="D11" t="s">
        <v>194</v>
      </c>
      <c r="F11" s="6" t="s">
        <v>195</v>
      </c>
      <c r="G11" t="s">
        <v>196</v>
      </c>
      <c r="H11" s="3" t="s">
        <v>193</v>
      </c>
      <c r="K11" t="s">
        <v>96</v>
      </c>
      <c r="M11" t="s">
        <v>76</v>
      </c>
      <c r="N11">
        <v>9</v>
      </c>
      <c r="O11" t="s">
        <v>106</v>
      </c>
      <c r="P11" s="5">
        <v>9</v>
      </c>
      <c r="Q11" s="5" t="s">
        <v>197</v>
      </c>
      <c r="R11" s="5">
        <v>55</v>
      </c>
      <c r="S11" s="5">
        <v>3</v>
      </c>
    </row>
    <row r="12" ht="18.75" spans="1:19">
      <c r="A12" t="s">
        <v>198</v>
      </c>
      <c r="B12" s="3" t="s">
        <v>199</v>
      </c>
      <c r="C12" s="3" t="s">
        <v>200</v>
      </c>
      <c r="D12" t="s">
        <v>201</v>
      </c>
      <c r="F12" s="6" t="s">
        <v>202</v>
      </c>
      <c r="G12" t="s">
        <v>203</v>
      </c>
      <c r="H12" s="3" t="s">
        <v>204</v>
      </c>
      <c r="J12" t="s">
        <v>84</v>
      </c>
      <c r="K12" s="7"/>
      <c r="M12" t="s">
        <v>81</v>
      </c>
      <c r="N12">
        <v>10</v>
      </c>
      <c r="O12" t="s">
        <v>107</v>
      </c>
      <c r="P12" s="5">
        <v>10</v>
      </c>
      <c r="Q12" s="5" t="s">
        <v>205</v>
      </c>
      <c r="R12" s="5">
        <v>49</v>
      </c>
      <c r="S12" s="5">
        <v>3</v>
      </c>
    </row>
    <row r="13" spans="10:19">
      <c r="J13" t="s">
        <v>86</v>
      </c>
      <c r="K13" s="3"/>
      <c r="M13" t="s">
        <v>86</v>
      </c>
      <c r="N13">
        <v>11</v>
      </c>
      <c r="O13" t="s">
        <v>108</v>
      </c>
      <c r="P13" s="5">
        <v>11</v>
      </c>
      <c r="Q13" s="5" t="s">
        <v>206</v>
      </c>
      <c r="R13" s="5">
        <v>48</v>
      </c>
      <c r="S13" s="5">
        <v>3</v>
      </c>
    </row>
    <row r="14" spans="1:19">
      <c r="A14" t="s">
        <v>184</v>
      </c>
      <c r="B14" s="3" t="s">
        <v>192</v>
      </c>
      <c r="C14" s="3" t="s">
        <v>207</v>
      </c>
      <c r="D14" s="3"/>
      <c r="J14" t="s">
        <v>92</v>
      </c>
      <c r="K14" s="3"/>
      <c r="M14" t="s">
        <v>89</v>
      </c>
      <c r="N14">
        <v>12</v>
      </c>
      <c r="O14" t="s">
        <v>109</v>
      </c>
      <c r="P14" s="5">
        <v>12</v>
      </c>
      <c r="Q14" s="5" t="s">
        <v>208</v>
      </c>
      <c r="R14" s="5">
        <v>74</v>
      </c>
      <c r="S14" s="5">
        <v>4</v>
      </c>
    </row>
    <row r="15" spans="1:19">
      <c r="A15" t="s">
        <v>198</v>
      </c>
      <c r="B15" s="3" t="s">
        <v>192</v>
      </c>
      <c r="C15" s="3" t="s">
        <v>204</v>
      </c>
      <c r="D15" s="3"/>
      <c r="I15" s="3"/>
      <c r="J15" s="3"/>
      <c r="K15" s="3"/>
      <c r="M15" t="s">
        <v>90</v>
      </c>
      <c r="N15">
        <v>13</v>
      </c>
      <c r="O15" t="s">
        <v>110</v>
      </c>
      <c r="P15" s="5">
        <v>13</v>
      </c>
      <c r="Q15" s="5" t="s">
        <v>209</v>
      </c>
      <c r="R15" s="5">
        <v>65</v>
      </c>
      <c r="S15" s="5">
        <v>4</v>
      </c>
    </row>
    <row r="16" spans="1:19">
      <c r="A16" t="s">
        <v>162</v>
      </c>
      <c r="B16" s="3" t="s">
        <v>199</v>
      </c>
      <c r="C16" s="3" t="s">
        <v>200</v>
      </c>
      <c r="D16" s="3"/>
      <c r="K16" s="3"/>
      <c r="M16" t="s">
        <v>91</v>
      </c>
      <c r="N16">
        <v>14</v>
      </c>
      <c r="O16" t="s">
        <v>111</v>
      </c>
      <c r="P16" s="5">
        <v>14</v>
      </c>
      <c r="Q16" s="5" t="s">
        <v>210</v>
      </c>
      <c r="R16" s="5">
        <v>69</v>
      </c>
      <c r="S16" s="5">
        <v>4</v>
      </c>
    </row>
    <row r="17" spans="1:19">
      <c r="A17" t="s">
        <v>140</v>
      </c>
      <c r="B17" s="3" t="s">
        <v>199</v>
      </c>
      <c r="C17" s="3" t="s">
        <v>211</v>
      </c>
      <c r="D17" s="3"/>
      <c r="I17" s="3"/>
      <c r="J17" s="3"/>
      <c r="K17" s="3"/>
      <c r="M17" t="s">
        <v>92</v>
      </c>
      <c r="N17">
        <v>15</v>
      </c>
      <c r="O17" t="s">
        <v>112</v>
      </c>
      <c r="P17" s="5">
        <v>15</v>
      </c>
      <c r="Q17" s="5" t="s">
        <v>212</v>
      </c>
      <c r="R17" s="5">
        <v>70</v>
      </c>
      <c r="S17" s="5">
        <v>4</v>
      </c>
    </row>
    <row r="18" spans="2:19">
      <c r="B18" s="3"/>
      <c r="C18" s="3"/>
      <c r="D18" s="3"/>
      <c r="I18" s="3"/>
      <c r="J18" s="3"/>
      <c r="K18" s="3"/>
      <c r="M18" t="s">
        <v>93</v>
      </c>
      <c r="N18">
        <v>16</v>
      </c>
      <c r="O18" t="s">
        <v>113</v>
      </c>
      <c r="P18" s="5">
        <v>16</v>
      </c>
      <c r="Q18" s="5" t="s">
        <v>213</v>
      </c>
      <c r="R18" s="5">
        <v>77</v>
      </c>
      <c r="S18" s="5">
        <v>5</v>
      </c>
    </row>
    <row r="19" spans="9:19">
      <c r="I19" s="3"/>
      <c r="J19" s="3"/>
      <c r="K19" s="3"/>
      <c r="M19" t="s">
        <v>94</v>
      </c>
      <c r="N19">
        <v>17</v>
      </c>
      <c r="O19" t="s">
        <v>114</v>
      </c>
      <c r="P19" s="5">
        <v>17</v>
      </c>
      <c r="Q19" s="5" t="s">
        <v>214</v>
      </c>
      <c r="R19" s="5">
        <v>79</v>
      </c>
      <c r="S19" s="5">
        <v>5</v>
      </c>
    </row>
    <row r="20" spans="9:19">
      <c r="I20" s="3"/>
      <c r="K20" s="3"/>
      <c r="M20" t="s">
        <v>95</v>
      </c>
      <c r="N20">
        <v>18</v>
      </c>
      <c r="O20" t="s">
        <v>115</v>
      </c>
      <c r="P20" s="5">
        <v>18</v>
      </c>
      <c r="Q20" s="5" t="s">
        <v>215</v>
      </c>
      <c r="R20" s="5">
        <v>84</v>
      </c>
      <c r="S20" s="5">
        <v>5</v>
      </c>
    </row>
    <row r="21" spans="9:19">
      <c r="I21" s="3"/>
      <c r="J21" s="3"/>
      <c r="K21" s="3"/>
      <c r="M21" t="s">
        <v>96</v>
      </c>
      <c r="N21">
        <v>19</v>
      </c>
      <c r="O21" t="s">
        <v>116</v>
      </c>
      <c r="P21" s="5">
        <v>19</v>
      </c>
      <c r="Q21" s="5" t="s">
        <v>216</v>
      </c>
      <c r="R21" s="5">
        <v>83</v>
      </c>
      <c r="S21" s="5">
        <v>5</v>
      </c>
    </row>
    <row r="22" spans="11:14">
      <c r="K22" s="3"/>
      <c r="M22" s="3"/>
      <c r="N22" s="3"/>
    </row>
    <row r="23" spans="11:14">
      <c r="K23" s="3"/>
      <c r="M23" s="3"/>
      <c r="N23" s="3"/>
    </row>
    <row r="24" spans="9:14">
      <c r="I24" s="3"/>
      <c r="J24" s="3"/>
      <c r="K24" s="3"/>
      <c r="M24" s="3"/>
      <c r="N24" s="3"/>
    </row>
    <row r="25" spans="9:14">
      <c r="I25" s="3"/>
      <c r="J25" s="3"/>
      <c r="K25" s="3"/>
      <c r="M25" s="3"/>
      <c r="N25" s="3"/>
    </row>
    <row r="26" ht="14.25" spans="9:14">
      <c r="I26" s="3"/>
      <c r="J26" s="3"/>
      <c r="K26" s="3"/>
      <c r="M26" s="3"/>
      <c r="N26" s="8"/>
    </row>
    <row r="27" spans="9:11">
      <c r="I27" s="3"/>
      <c r="J27" s="3"/>
      <c r="K27" s="3"/>
    </row>
    <row r="28" ht="14.25" spans="11:14">
      <c r="K28" s="3"/>
      <c r="M28" s="3"/>
      <c r="N28" s="8"/>
    </row>
    <row r="29" spans="9:11">
      <c r="I29" s="3"/>
      <c r="J29" s="3"/>
      <c r="K29" s="3"/>
    </row>
    <row r="30" ht="14.25" spans="11:14">
      <c r="K30" s="3"/>
      <c r="M30" s="3"/>
      <c r="N30" s="8"/>
    </row>
    <row r="31" ht="14.25" spans="11:14">
      <c r="K31" s="3"/>
      <c r="M31" s="3"/>
      <c r="N31" s="8"/>
    </row>
    <row r="32" spans="9:10">
      <c r="I32" s="3"/>
      <c r="J32" s="3"/>
    </row>
    <row r="34" spans="9:10">
      <c r="I34" s="3"/>
      <c r="J34" s="3"/>
    </row>
    <row r="35" spans="9:10">
      <c r="I35" s="3"/>
      <c r="J35" s="3"/>
    </row>
    <row r="36" spans="9:10">
      <c r="I36" s="3"/>
      <c r="J36" s="3"/>
    </row>
    <row r="37" spans="9:10">
      <c r="I37" s="3"/>
      <c r="J37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zoomScale="130" zoomScaleNormal="130" workbookViewId="0">
      <selection activeCell="A2" sqref="A2:B21"/>
    </sheetView>
  </sheetViews>
  <sheetFormatPr defaultColWidth="9" defaultRowHeight="13.5"/>
  <cols>
    <col min="1" max="1" width="9" style="5"/>
    <col min="2" max="2" width="11.125" style="5" customWidth="1"/>
    <col min="3" max="25" width="9" style="5"/>
  </cols>
  <sheetData>
    <row r="1" s="5" customFormat="1" spans="1:12">
      <c r="A1" s="5" t="s">
        <v>117</v>
      </c>
      <c r="B1" s="5"/>
      <c r="C1" s="5" t="s">
        <v>121</v>
      </c>
      <c r="D1" s="5" t="s">
        <v>122</v>
      </c>
      <c r="E1" s="5" t="s">
        <v>217</v>
      </c>
      <c r="F1" s="5"/>
      <c r="G1" s="5"/>
      <c r="H1" s="5"/>
      <c r="I1" s="5"/>
      <c r="J1" s="5"/>
      <c r="L1" s="5" t="s">
        <v>218</v>
      </c>
    </row>
    <row r="2" s="5" customFormat="1" ht="17" customHeight="1" spans="1:13">
      <c r="A2" s="5" t="s">
        <v>219</v>
      </c>
      <c r="B2" s="5" t="s">
        <v>131</v>
      </c>
      <c r="C2" s="5">
        <v>30</v>
      </c>
      <c r="D2" s="5">
        <v>1</v>
      </c>
      <c r="E2" t="s">
        <v>123</v>
      </c>
      <c r="F2" t="s">
        <v>132</v>
      </c>
      <c r="G2" t="s">
        <v>140</v>
      </c>
      <c r="H2" s="5"/>
      <c r="I2" s="5"/>
      <c r="J2" s="5"/>
      <c r="K2" s="5"/>
      <c r="L2" s="5" t="s">
        <v>131</v>
      </c>
      <c r="M2" s="5" t="s">
        <v>220</v>
      </c>
    </row>
    <row r="3" s="5" customFormat="1" spans="1:13">
      <c r="A3" s="5" t="s">
        <v>221</v>
      </c>
      <c r="B3" s="5" t="s">
        <v>222</v>
      </c>
      <c r="C3" s="5">
        <v>32</v>
      </c>
      <c r="D3" s="5">
        <v>1</v>
      </c>
      <c r="E3" t="s">
        <v>132</v>
      </c>
      <c r="F3" s="5"/>
      <c r="G3" s="5"/>
      <c r="H3" t="s">
        <v>93</v>
      </c>
      <c r="L3" s="5" t="s">
        <v>139</v>
      </c>
      <c r="M3" s="5" t="s">
        <v>223</v>
      </c>
    </row>
    <row r="4" s="5" customFormat="1" spans="1:13">
      <c r="A4" s="5" t="s">
        <v>224</v>
      </c>
      <c r="B4" s="5" t="s">
        <v>139</v>
      </c>
      <c r="C4" s="5">
        <v>33</v>
      </c>
      <c r="D4" s="5">
        <v>1</v>
      </c>
      <c r="E4" t="s">
        <v>123</v>
      </c>
      <c r="F4" s="5"/>
      <c r="G4" s="5"/>
      <c r="H4" s="5"/>
      <c r="I4" s="5"/>
      <c r="J4" s="5"/>
      <c r="K4" s="5"/>
      <c r="L4" s="5" t="s">
        <v>161</v>
      </c>
      <c r="M4" s="5" t="s">
        <v>225</v>
      </c>
    </row>
    <row r="5" s="5" customFormat="1" spans="1:13">
      <c r="A5" s="5" t="s">
        <v>226</v>
      </c>
      <c r="B5" s="5" t="s">
        <v>161</v>
      </c>
      <c r="C5" s="5">
        <v>31</v>
      </c>
      <c r="D5" s="5">
        <v>1</v>
      </c>
      <c r="E5" t="s">
        <v>140</v>
      </c>
      <c r="F5" s="5"/>
      <c r="G5" s="5"/>
      <c r="H5" t="s">
        <v>94</v>
      </c>
      <c r="L5" s="5" t="s">
        <v>146</v>
      </c>
      <c r="M5" s="5" t="s">
        <v>227</v>
      </c>
    </row>
    <row r="6" s="5" customFormat="1" spans="1:13">
      <c r="A6" s="5" t="s">
        <v>228</v>
      </c>
      <c r="B6" s="5" t="s">
        <v>146</v>
      </c>
      <c r="C6" s="5">
        <v>44</v>
      </c>
      <c r="D6" s="5">
        <v>2</v>
      </c>
      <c r="E6" t="s">
        <v>147</v>
      </c>
      <c r="F6" t="s">
        <v>155</v>
      </c>
      <c r="G6" t="s">
        <v>162</v>
      </c>
      <c r="H6" s="5"/>
      <c r="L6" s="5" t="s">
        <v>176</v>
      </c>
      <c r="M6" s="5" t="s">
        <v>229</v>
      </c>
    </row>
    <row r="7" s="5" customFormat="1" spans="1:13">
      <c r="A7" s="5" t="s">
        <v>230</v>
      </c>
      <c r="B7" s="5" t="s">
        <v>231</v>
      </c>
      <c r="C7" s="5">
        <v>39</v>
      </c>
      <c r="D7" s="5">
        <v>2</v>
      </c>
      <c r="E7" t="s">
        <v>140</v>
      </c>
      <c r="F7" s="5"/>
      <c r="G7" s="5"/>
      <c r="H7" s="5"/>
      <c r="L7" s="5" t="s">
        <v>190</v>
      </c>
      <c r="M7" s="5" t="s">
        <v>232</v>
      </c>
    </row>
    <row r="8" s="5" customFormat="1" spans="1:13">
      <c r="A8" s="5" t="s">
        <v>233</v>
      </c>
      <c r="B8" s="5" t="s">
        <v>176</v>
      </c>
      <c r="C8" s="5">
        <v>40</v>
      </c>
      <c r="D8" s="5">
        <v>2</v>
      </c>
      <c r="E8" t="s">
        <v>155</v>
      </c>
      <c r="F8" s="5"/>
      <c r="G8" s="5"/>
      <c r="H8" s="5"/>
      <c r="I8" s="5"/>
      <c r="J8" s="5"/>
      <c r="K8" s="5"/>
      <c r="L8" s="5" t="s">
        <v>197</v>
      </c>
      <c r="M8" s="5" t="s">
        <v>234</v>
      </c>
    </row>
    <row r="9" s="5" customFormat="1" spans="1:13">
      <c r="A9" s="5" t="s">
        <v>235</v>
      </c>
      <c r="B9" s="5" t="s">
        <v>190</v>
      </c>
      <c r="C9" s="5">
        <v>42</v>
      </c>
      <c r="D9" s="5">
        <v>2</v>
      </c>
      <c r="E9" t="s">
        <v>162</v>
      </c>
      <c r="F9" s="5"/>
      <c r="G9" s="5"/>
      <c r="H9" s="6" t="s">
        <v>236</v>
      </c>
      <c r="L9" s="5" t="s">
        <v>205</v>
      </c>
      <c r="M9" s="5" t="s">
        <v>237</v>
      </c>
    </row>
    <row r="10" s="5" customFormat="1" spans="1:14">
      <c r="A10" s="5" t="s">
        <v>238</v>
      </c>
      <c r="B10" s="5" t="s">
        <v>197</v>
      </c>
      <c r="C10" s="5">
        <v>51</v>
      </c>
      <c r="D10" s="5">
        <v>3</v>
      </c>
      <c r="E10" t="s">
        <v>169</v>
      </c>
      <c r="F10" t="s">
        <v>177</v>
      </c>
      <c r="G10" t="s">
        <v>184</v>
      </c>
      <c r="H10" s="5"/>
      <c r="I10" s="5"/>
      <c r="J10" s="5"/>
      <c r="K10" s="5"/>
      <c r="L10" s="5" t="s">
        <v>239</v>
      </c>
      <c r="M10" s="5" t="s">
        <v>240</v>
      </c>
      <c r="N10" t="s">
        <v>123</v>
      </c>
    </row>
    <row r="11" s="5" customFormat="1" spans="1:14">
      <c r="A11" s="5" t="s">
        <v>241</v>
      </c>
      <c r="B11" s="5" t="s">
        <v>242</v>
      </c>
      <c r="C11" s="5">
        <v>55</v>
      </c>
      <c r="D11" s="5">
        <v>3</v>
      </c>
      <c r="E11" t="s">
        <v>162</v>
      </c>
      <c r="F11" s="5"/>
      <c r="G11" s="5"/>
      <c r="H11" s="5"/>
      <c r="I11" s="5"/>
      <c r="J11" s="5"/>
      <c r="K11" s="5"/>
      <c r="L11" s="5" t="s">
        <v>208</v>
      </c>
      <c r="M11" s="5" t="s">
        <v>243</v>
      </c>
      <c r="N11" t="s">
        <v>132</v>
      </c>
    </row>
    <row r="12" s="5" customFormat="1" spans="1:14">
      <c r="A12" s="5" t="s">
        <v>244</v>
      </c>
      <c r="B12" s="5" t="s">
        <v>205</v>
      </c>
      <c r="C12" s="5">
        <v>49</v>
      </c>
      <c r="D12" s="5">
        <v>3</v>
      </c>
      <c r="E12" t="s">
        <v>177</v>
      </c>
      <c r="F12" s="5"/>
      <c r="G12" s="5"/>
      <c r="H12" s="5"/>
      <c r="I12" s="5"/>
      <c r="J12" s="5"/>
      <c r="K12" s="5"/>
      <c r="L12" s="5" t="s">
        <v>209</v>
      </c>
      <c r="M12" s="5" t="s">
        <v>245</v>
      </c>
      <c r="N12" t="s">
        <v>140</v>
      </c>
    </row>
    <row r="13" s="5" customFormat="1" spans="1:14">
      <c r="A13" s="5" t="s">
        <v>246</v>
      </c>
      <c r="B13" s="5" t="s">
        <v>239</v>
      </c>
      <c r="C13" s="5">
        <v>48</v>
      </c>
      <c r="D13" s="5">
        <v>3</v>
      </c>
      <c r="E13" t="s">
        <v>184</v>
      </c>
      <c r="F13" s="5"/>
      <c r="G13" s="5"/>
      <c r="H13" s="5"/>
      <c r="I13" s="5"/>
      <c r="J13" s="5"/>
      <c r="K13" s="5"/>
      <c r="L13" s="5" t="s">
        <v>247</v>
      </c>
      <c r="M13" s="5" t="s">
        <v>248</v>
      </c>
      <c r="N13" t="s">
        <v>147</v>
      </c>
    </row>
    <row r="14" s="5" customFormat="1" spans="1:14">
      <c r="A14" s="5" t="s">
        <v>249</v>
      </c>
      <c r="B14" s="5" t="s">
        <v>208</v>
      </c>
      <c r="C14" s="5">
        <v>74</v>
      </c>
      <c r="D14" s="5">
        <v>4</v>
      </c>
      <c r="E14" t="s">
        <v>191</v>
      </c>
      <c r="F14" s="5"/>
      <c r="G14" s="5"/>
      <c r="H14" s="5"/>
      <c r="I14" s="5"/>
      <c r="J14" s="5"/>
      <c r="K14" s="5"/>
      <c r="L14" s="5" t="s">
        <v>250</v>
      </c>
      <c r="M14" s="5" t="s">
        <v>251</v>
      </c>
      <c r="N14" t="s">
        <v>155</v>
      </c>
    </row>
    <row r="15" s="5" customFormat="1" spans="1:14">
      <c r="A15" s="5" t="s">
        <v>252</v>
      </c>
      <c r="B15" s="5" t="s">
        <v>253</v>
      </c>
      <c r="C15" s="5">
        <v>65</v>
      </c>
      <c r="D15" s="5">
        <v>4</v>
      </c>
      <c r="E15" t="s">
        <v>191</v>
      </c>
      <c r="L15" s="5" t="s">
        <v>214</v>
      </c>
      <c r="M15" s="5" t="s">
        <v>254</v>
      </c>
      <c r="N15" t="s">
        <v>162</v>
      </c>
    </row>
    <row r="16" s="5" customFormat="1" spans="1:14">
      <c r="A16" s="5" t="s">
        <v>255</v>
      </c>
      <c r="B16" s="5" t="s">
        <v>209</v>
      </c>
      <c r="C16" s="5">
        <v>69</v>
      </c>
      <c r="D16" s="5">
        <v>4</v>
      </c>
      <c r="E16" t="s">
        <v>191</v>
      </c>
      <c r="H16" s="6" t="s">
        <v>256</v>
      </c>
      <c r="L16" s="5" t="s">
        <v>215</v>
      </c>
      <c r="M16" s="5" t="s">
        <v>257</v>
      </c>
      <c r="N16" t="s">
        <v>169</v>
      </c>
    </row>
    <row r="17" s="5" customFormat="1" spans="1:14">
      <c r="A17" s="5" t="s">
        <v>258</v>
      </c>
      <c r="B17" s="5" t="s">
        <v>247</v>
      </c>
      <c r="C17" s="5">
        <v>70</v>
      </c>
      <c r="D17" s="5">
        <v>4</v>
      </c>
      <c r="E17" t="s">
        <v>191</v>
      </c>
      <c r="F17"/>
      <c r="G17" s="5"/>
      <c r="H17" s="5"/>
      <c r="I17" s="5"/>
      <c r="J17" s="5"/>
      <c r="K17" s="5"/>
      <c r="L17" s="5" t="s">
        <v>216</v>
      </c>
      <c r="M17" s="5" t="s">
        <v>259</v>
      </c>
      <c r="N17" t="s">
        <v>177</v>
      </c>
    </row>
    <row r="18" s="5" customFormat="1" spans="1:14">
      <c r="A18" s="5" t="s">
        <v>260</v>
      </c>
      <c r="B18" s="5" t="s">
        <v>250</v>
      </c>
      <c r="C18" s="5">
        <v>77</v>
      </c>
      <c r="D18" s="5">
        <v>5</v>
      </c>
      <c r="E18" t="s">
        <v>198</v>
      </c>
      <c r="F18" s="5"/>
      <c r="G18" s="5"/>
      <c r="H18" s="5"/>
      <c r="I18" s="5"/>
      <c r="J18" s="5"/>
      <c r="K18" s="5"/>
      <c r="N18" t="s">
        <v>184</v>
      </c>
    </row>
    <row r="19" s="5" customFormat="1" spans="1:14">
      <c r="A19" s="5" t="s">
        <v>261</v>
      </c>
      <c r="B19" s="5" t="s">
        <v>214</v>
      </c>
      <c r="C19" s="5">
        <v>79</v>
      </c>
      <c r="D19" s="5">
        <v>5</v>
      </c>
      <c r="E19" t="s">
        <v>198</v>
      </c>
      <c r="F19" s="5"/>
      <c r="G19" s="5"/>
      <c r="H19" s="5"/>
      <c r="I19" s="5"/>
      <c r="J19" s="5"/>
      <c r="K19" s="5"/>
      <c r="N19" t="s">
        <v>191</v>
      </c>
    </row>
    <row r="20" s="5" customFormat="1" spans="1:14">
      <c r="A20" s="5" t="s">
        <v>262</v>
      </c>
      <c r="B20" s="5" t="s">
        <v>215</v>
      </c>
      <c r="C20" s="5">
        <v>84</v>
      </c>
      <c r="D20" s="5">
        <v>5</v>
      </c>
      <c r="E20" t="s">
        <v>198</v>
      </c>
      <c r="F20" s="5"/>
      <c r="G20" s="5"/>
      <c r="H20" s="5"/>
      <c r="I20" s="5"/>
      <c r="J20" s="5"/>
      <c r="K20" s="5"/>
      <c r="N20" t="s">
        <v>198</v>
      </c>
    </row>
    <row r="21" s="5" customFormat="1" spans="1:5">
      <c r="A21" s="5" t="s">
        <v>263</v>
      </c>
      <c r="B21" s="5" t="s">
        <v>216</v>
      </c>
      <c r="C21" s="5">
        <v>83</v>
      </c>
      <c r="D21" s="5">
        <v>5</v>
      </c>
      <c r="E21" t="s">
        <v>198</v>
      </c>
    </row>
    <row r="22" s="5" customFormat="1"/>
    <row r="23" spans="1:5">
      <c r="A23" t="s">
        <v>123</v>
      </c>
      <c r="B23" s="3" t="s">
        <v>124</v>
      </c>
      <c r="C23" s="3" t="s">
        <v>125</v>
      </c>
      <c r="D23" t="s">
        <v>126</v>
      </c>
      <c r="E23"/>
    </row>
    <row r="24" s="5" customFormat="1" spans="1:5">
      <c r="A24" t="s">
        <v>132</v>
      </c>
      <c r="B24" s="3" t="s">
        <v>124</v>
      </c>
      <c r="C24" s="3" t="s">
        <v>133</v>
      </c>
      <c r="D24" t="s">
        <v>134</v>
      </c>
      <c r="E24"/>
    </row>
    <row r="25" s="5" customFormat="1" spans="1:5">
      <c r="A25" t="s">
        <v>140</v>
      </c>
      <c r="B25" s="3" t="s">
        <v>124</v>
      </c>
      <c r="C25" s="3" t="s">
        <v>141</v>
      </c>
      <c r="D25" t="s">
        <v>142</v>
      </c>
      <c r="E25"/>
    </row>
    <row r="26" s="5" customFormat="1" spans="1:5">
      <c r="A26" t="s">
        <v>147</v>
      </c>
      <c r="B26" s="3" t="s">
        <v>148</v>
      </c>
      <c r="C26" s="3" t="s">
        <v>149</v>
      </c>
      <c r="D26" t="s">
        <v>150</v>
      </c>
      <c r="E26"/>
    </row>
    <row r="27" s="5" customFormat="1" spans="1:5">
      <c r="A27" t="s">
        <v>155</v>
      </c>
      <c r="B27" s="3" t="s">
        <v>148</v>
      </c>
      <c r="C27" s="3" t="s">
        <v>156</v>
      </c>
      <c r="D27" t="s">
        <v>157</v>
      </c>
      <c r="E27"/>
    </row>
    <row r="28" s="5" customFormat="1" spans="1:5">
      <c r="A28" t="s">
        <v>162</v>
      </c>
      <c r="B28" s="3" t="s">
        <v>148</v>
      </c>
      <c r="C28" s="3" t="s">
        <v>163</v>
      </c>
      <c r="D28" t="s">
        <v>164</v>
      </c>
      <c r="E28"/>
    </row>
    <row r="29" s="5" customFormat="1" spans="1:5">
      <c r="A29" t="s">
        <v>169</v>
      </c>
      <c r="B29" s="3" t="s">
        <v>170</v>
      </c>
      <c r="C29" t="s">
        <v>171</v>
      </c>
      <c r="D29" t="s">
        <v>172</v>
      </c>
      <c r="E29"/>
    </row>
    <row r="30" s="5" customFormat="1" spans="1:5">
      <c r="A30" t="s">
        <v>177</v>
      </c>
      <c r="B30" s="3" t="s">
        <v>170</v>
      </c>
      <c r="C30" s="3" t="s">
        <v>178</v>
      </c>
      <c r="D30" t="s">
        <v>179</v>
      </c>
      <c r="E30"/>
    </row>
    <row r="31" s="5" customFormat="1" spans="1:5">
      <c r="A31" t="s">
        <v>184</v>
      </c>
      <c r="B31" s="3" t="s">
        <v>170</v>
      </c>
      <c r="C31" s="3" t="s">
        <v>185</v>
      </c>
      <c r="D31" t="s">
        <v>186</v>
      </c>
      <c r="E31"/>
    </row>
    <row r="32" s="5" customFormat="1" spans="1:5">
      <c r="A32" t="s">
        <v>191</v>
      </c>
      <c r="B32" s="3" t="s">
        <v>192</v>
      </c>
      <c r="C32" s="3" t="s">
        <v>193</v>
      </c>
      <c r="D32" t="s">
        <v>194</v>
      </c>
      <c r="E32"/>
    </row>
    <row r="33" s="5" customFormat="1" spans="1:5">
      <c r="A33" t="s">
        <v>198</v>
      </c>
      <c r="B33" s="3" t="s">
        <v>199</v>
      </c>
      <c r="C33" s="3" t="s">
        <v>200</v>
      </c>
      <c r="D33" t="s">
        <v>201</v>
      </c>
      <c r="E33"/>
    </row>
    <row r="34" s="5" customFormat="1"/>
    <row r="35" s="5" customFormat="1"/>
    <row r="36" s="5" customFormat="1"/>
    <row r="37" s="5" customFormat="1"/>
    <row r="38" s="5" customFormat="1"/>
    <row r="39" s="5" customFormat="1"/>
    <row r="40" s="5" customFormat="1"/>
    <row r="41" s="5" customFormat="1"/>
    <row r="42" s="5" customFormat="1"/>
    <row r="43" s="5" customFormat="1"/>
    <row r="44" s="5" customFormat="1"/>
    <row r="45" s="5" customFormat="1"/>
    <row r="46" s="5" customFormat="1"/>
    <row r="47" s="5" customFormat="1"/>
    <row r="48" s="5" customFormat="1"/>
    <row r="49" s="5" customFormat="1"/>
    <row r="50" s="5" customFormat="1"/>
    <row r="51" s="5" customFormat="1"/>
    <row r="52" s="5" customForma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5"/>
  <sheetViews>
    <sheetView zoomScale="120" zoomScaleNormal="120" topLeftCell="C3" workbookViewId="0">
      <selection activeCell="P1" sqref="P1:Q1"/>
    </sheetView>
  </sheetViews>
  <sheetFormatPr defaultColWidth="9" defaultRowHeight="13.5"/>
  <cols>
    <col min="1" max="8" width="9" style="5"/>
  </cols>
  <sheetData>
    <row r="1" spans="4:34">
      <c r="D1" s="5" t="s">
        <v>264</v>
      </c>
      <c r="P1" t="s">
        <v>69</v>
      </c>
      <c r="Q1" t="s">
        <v>70</v>
      </c>
      <c r="S1" t="s">
        <v>265</v>
      </c>
      <c r="T1" t="s">
        <v>48</v>
      </c>
      <c r="U1" t="s">
        <v>266</v>
      </c>
      <c r="V1" s="5" t="s">
        <v>4</v>
      </c>
      <c r="W1" s="5" t="s">
        <v>3</v>
      </c>
      <c r="X1" s="5" t="s">
        <v>5</v>
      </c>
      <c r="Y1" s="5" t="s">
        <v>8</v>
      </c>
      <c r="Z1" s="5" t="s">
        <v>267</v>
      </c>
      <c r="AA1" s="5" t="s">
        <v>268</v>
      </c>
      <c r="AB1" s="5" t="s">
        <v>269</v>
      </c>
      <c r="AC1" s="5" t="s">
        <v>270</v>
      </c>
      <c r="AD1" t="s">
        <v>6</v>
      </c>
      <c r="AE1" t="s">
        <v>7</v>
      </c>
      <c r="AF1" t="s">
        <v>10</v>
      </c>
      <c r="AG1" t="s">
        <v>9</v>
      </c>
      <c r="AH1" t="s">
        <v>12</v>
      </c>
    </row>
    <row r="2" spans="1:34">
      <c r="A2" s="5" t="s">
        <v>4</v>
      </c>
      <c r="B2" s="5" t="s">
        <v>271</v>
      </c>
      <c r="C2" s="5" t="s">
        <v>272</v>
      </c>
      <c r="D2" s="5" t="s">
        <v>131</v>
      </c>
      <c r="E2" t="s">
        <v>219</v>
      </c>
      <c r="F2" s="5" t="s">
        <v>222</v>
      </c>
      <c r="G2" t="s">
        <v>221</v>
      </c>
      <c r="H2" s="5" t="s">
        <v>73</v>
      </c>
      <c r="I2" t="s">
        <v>97</v>
      </c>
      <c r="P2">
        <v>35</v>
      </c>
      <c r="Q2">
        <v>30</v>
      </c>
      <c r="S2" t="s">
        <v>15</v>
      </c>
      <c r="T2">
        <v>0</v>
      </c>
      <c r="U2">
        <v>3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>
      <c r="A3" s="5" t="s">
        <v>3</v>
      </c>
      <c r="B3" s="5" t="s">
        <v>273</v>
      </c>
      <c r="C3" s="5" t="s">
        <v>274</v>
      </c>
      <c r="D3" s="5" t="s">
        <v>131</v>
      </c>
      <c r="E3" t="s">
        <v>219</v>
      </c>
      <c r="F3" s="5" t="s">
        <v>139</v>
      </c>
      <c r="G3" t="s">
        <v>224</v>
      </c>
      <c r="H3" s="5" t="s">
        <v>73</v>
      </c>
      <c r="I3" t="s">
        <v>97</v>
      </c>
      <c r="P3">
        <v>35</v>
      </c>
      <c r="Q3">
        <v>30</v>
      </c>
      <c r="S3" t="s">
        <v>15</v>
      </c>
      <c r="T3">
        <v>0</v>
      </c>
      <c r="U3">
        <v>3</v>
      </c>
      <c r="V3">
        <v>0</v>
      </c>
      <c r="W3">
        <v>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ht="15" spans="1:34">
      <c r="A4" s="5" t="s">
        <v>5</v>
      </c>
      <c r="B4" s="5" t="s">
        <v>275</v>
      </c>
      <c r="C4" s="5" t="s">
        <v>276</v>
      </c>
      <c r="D4" s="5" t="s">
        <v>131</v>
      </c>
      <c r="E4" t="s">
        <v>219</v>
      </c>
      <c r="F4" s="5" t="s">
        <v>161</v>
      </c>
      <c r="G4" t="s">
        <v>226</v>
      </c>
      <c r="H4" s="5" t="s">
        <v>73</v>
      </c>
      <c r="I4" t="s">
        <v>97</v>
      </c>
      <c r="P4">
        <v>35</v>
      </c>
      <c r="Q4">
        <v>30</v>
      </c>
      <c r="S4" t="s">
        <v>15</v>
      </c>
      <c r="T4">
        <v>0</v>
      </c>
      <c r="U4">
        <v>3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>
      <c r="A5" s="5" t="s">
        <v>8</v>
      </c>
      <c r="B5" s="5" t="s">
        <v>277</v>
      </c>
      <c r="C5" s="5" t="s">
        <v>278</v>
      </c>
      <c r="D5" s="5" t="s">
        <v>139</v>
      </c>
      <c r="E5" t="s">
        <v>224</v>
      </c>
      <c r="F5" s="5" t="s">
        <v>222</v>
      </c>
      <c r="G5" t="s">
        <v>221</v>
      </c>
      <c r="H5" s="5" t="s">
        <v>73</v>
      </c>
      <c r="I5" t="s">
        <v>97</v>
      </c>
      <c r="P5">
        <v>35</v>
      </c>
      <c r="Q5">
        <v>30</v>
      </c>
      <c r="S5" t="s">
        <v>15</v>
      </c>
      <c r="T5">
        <v>0</v>
      </c>
      <c r="U5">
        <v>3</v>
      </c>
      <c r="V5">
        <v>0</v>
      </c>
      <c r="W5">
        <v>0</v>
      </c>
      <c r="X5">
        <v>0</v>
      </c>
      <c r="Y5">
        <v>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 s="5" t="s">
        <v>267</v>
      </c>
      <c r="B6" s="5" t="s">
        <v>279</v>
      </c>
      <c r="C6" s="5" t="s">
        <v>280</v>
      </c>
      <c r="D6" s="5" t="s">
        <v>139</v>
      </c>
      <c r="E6" t="s">
        <v>224</v>
      </c>
      <c r="F6" s="5" t="s">
        <v>161</v>
      </c>
      <c r="G6" t="s">
        <v>226</v>
      </c>
      <c r="H6" s="5" t="s">
        <v>73</v>
      </c>
      <c r="I6" t="s">
        <v>97</v>
      </c>
      <c r="P6">
        <v>35</v>
      </c>
      <c r="Q6">
        <v>30</v>
      </c>
      <c r="S6" t="s">
        <v>15</v>
      </c>
      <c r="T6">
        <v>0</v>
      </c>
      <c r="U6">
        <v>-1</v>
      </c>
      <c r="V6">
        <v>0</v>
      </c>
      <c r="W6">
        <v>0</v>
      </c>
      <c r="X6">
        <v>0</v>
      </c>
      <c r="Y6">
        <v>0</v>
      </c>
      <c r="Z6">
        <v>40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>
      <c r="A7" s="5" t="s">
        <v>268</v>
      </c>
      <c r="B7" s="5" t="s">
        <v>281</v>
      </c>
      <c r="C7" s="5" t="s">
        <v>282</v>
      </c>
      <c r="D7" s="5" t="s">
        <v>161</v>
      </c>
      <c r="E7" t="s">
        <v>226</v>
      </c>
      <c r="F7" s="5" t="s">
        <v>222</v>
      </c>
      <c r="G7" t="s">
        <v>221</v>
      </c>
      <c r="H7" s="5" t="s">
        <v>73</v>
      </c>
      <c r="I7" t="s">
        <v>97</v>
      </c>
      <c r="P7">
        <v>35</v>
      </c>
      <c r="Q7">
        <v>30</v>
      </c>
      <c r="S7" t="s">
        <v>15</v>
      </c>
      <c r="T7">
        <v>0</v>
      </c>
      <c r="U7">
        <v>3</v>
      </c>
      <c r="V7">
        <v>0</v>
      </c>
      <c r="W7">
        <v>0</v>
      </c>
      <c r="X7">
        <v>0</v>
      </c>
      <c r="Y7">
        <v>0</v>
      </c>
      <c r="Z7">
        <v>0</v>
      </c>
      <c r="AA7">
        <v>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>
      <c r="A8" s="5" t="s">
        <v>269</v>
      </c>
      <c r="B8" s="5" t="s">
        <v>283</v>
      </c>
      <c r="C8" s="5" t="s">
        <v>284</v>
      </c>
      <c r="D8" s="5" t="s">
        <v>131</v>
      </c>
      <c r="E8" t="s">
        <v>219</v>
      </c>
      <c r="F8" s="5" t="s">
        <v>139</v>
      </c>
      <c r="G8" t="s">
        <v>224</v>
      </c>
      <c r="H8" s="5" t="s">
        <v>222</v>
      </c>
      <c r="I8" t="s">
        <v>221</v>
      </c>
      <c r="P8">
        <v>20</v>
      </c>
      <c r="Q8">
        <v>0</v>
      </c>
      <c r="S8" t="s">
        <v>15</v>
      </c>
      <c r="T8">
        <v>0</v>
      </c>
      <c r="U8">
        <v>-1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 s="5" t="s">
        <v>270</v>
      </c>
      <c r="B9" s="5" t="s">
        <v>285</v>
      </c>
      <c r="C9" s="5" t="s">
        <v>286</v>
      </c>
      <c r="D9" s="5" t="s">
        <v>131</v>
      </c>
      <c r="E9" t="s">
        <v>219</v>
      </c>
      <c r="F9" s="5" t="s">
        <v>161</v>
      </c>
      <c r="G9" t="s">
        <v>226</v>
      </c>
      <c r="H9" s="5" t="s">
        <v>222</v>
      </c>
      <c r="I9" t="s">
        <v>221</v>
      </c>
      <c r="P9">
        <v>20</v>
      </c>
      <c r="Q9">
        <v>0</v>
      </c>
      <c r="S9" t="s">
        <v>15</v>
      </c>
      <c r="T9">
        <v>0</v>
      </c>
      <c r="U9">
        <v>-1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20</v>
      </c>
      <c r="AD9">
        <v>0</v>
      </c>
      <c r="AE9">
        <v>0</v>
      </c>
      <c r="AF9">
        <v>0</v>
      </c>
      <c r="AG9">
        <v>0</v>
      </c>
      <c r="AH9">
        <v>0</v>
      </c>
    </row>
    <row r="10" ht="15" spans="1:34">
      <c r="A10" s="5" t="s">
        <v>4</v>
      </c>
      <c r="B10" s="5" t="s">
        <v>287</v>
      </c>
      <c r="C10" s="5" t="s">
        <v>288</v>
      </c>
      <c r="D10" s="5" t="s">
        <v>146</v>
      </c>
      <c r="E10" t="s">
        <v>228</v>
      </c>
      <c r="F10" s="5" t="s">
        <v>231</v>
      </c>
      <c r="G10" t="s">
        <v>230</v>
      </c>
      <c r="H10" s="5" t="s">
        <v>78</v>
      </c>
      <c r="I10" t="s">
        <v>98</v>
      </c>
      <c r="J10" s="5" t="s">
        <v>146</v>
      </c>
      <c r="K10" t="s">
        <v>228</v>
      </c>
      <c r="P10">
        <v>40</v>
      </c>
      <c r="Q10">
        <v>60</v>
      </c>
      <c r="S10" t="s">
        <v>17</v>
      </c>
      <c r="T10">
        <v>1</v>
      </c>
      <c r="U10">
        <v>3</v>
      </c>
      <c r="V10">
        <v>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 s="5" t="s">
        <v>3</v>
      </c>
      <c r="B11" s="5" t="s">
        <v>289</v>
      </c>
      <c r="C11" s="5" t="s">
        <v>290</v>
      </c>
      <c r="D11" s="5" t="s">
        <v>146</v>
      </c>
      <c r="E11" t="s">
        <v>228</v>
      </c>
      <c r="F11" s="5" t="s">
        <v>176</v>
      </c>
      <c r="G11" t="s">
        <v>233</v>
      </c>
      <c r="H11" s="5" t="s">
        <v>78</v>
      </c>
      <c r="I11" t="s">
        <v>98</v>
      </c>
      <c r="J11" s="5" t="s">
        <v>146</v>
      </c>
      <c r="K11" t="s">
        <v>228</v>
      </c>
      <c r="P11">
        <v>40</v>
      </c>
      <c r="Q11">
        <v>60</v>
      </c>
      <c r="S11" t="s">
        <v>17</v>
      </c>
      <c r="T11">
        <v>1</v>
      </c>
      <c r="U11">
        <v>3</v>
      </c>
      <c r="V11">
        <v>0</v>
      </c>
      <c r="W11">
        <v>10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 s="5" t="s">
        <v>5</v>
      </c>
      <c r="B12" s="5" t="s">
        <v>291</v>
      </c>
      <c r="C12" s="5" t="s">
        <v>292</v>
      </c>
      <c r="D12" s="5" t="s">
        <v>146</v>
      </c>
      <c r="E12" t="s">
        <v>228</v>
      </c>
      <c r="F12" s="5" t="s">
        <v>190</v>
      </c>
      <c r="G12" t="s">
        <v>235</v>
      </c>
      <c r="H12" s="5" t="s">
        <v>78</v>
      </c>
      <c r="I12" t="s">
        <v>98</v>
      </c>
      <c r="J12" s="5" t="s">
        <v>146</v>
      </c>
      <c r="K12" t="s">
        <v>228</v>
      </c>
      <c r="P12">
        <v>40</v>
      </c>
      <c r="Q12">
        <v>60</v>
      </c>
      <c r="S12" t="s">
        <v>17</v>
      </c>
      <c r="T12">
        <v>1</v>
      </c>
      <c r="U12">
        <v>3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ht="15" spans="1:34">
      <c r="A13" s="5" t="s">
        <v>8</v>
      </c>
      <c r="B13" s="5" t="s">
        <v>293</v>
      </c>
      <c r="C13" s="5" t="s">
        <v>294</v>
      </c>
      <c r="D13" s="5" t="s">
        <v>176</v>
      </c>
      <c r="E13" t="s">
        <v>233</v>
      </c>
      <c r="F13" s="5" t="s">
        <v>231</v>
      </c>
      <c r="G13" t="s">
        <v>230</v>
      </c>
      <c r="H13" s="5" t="s">
        <v>78</v>
      </c>
      <c r="I13" t="s">
        <v>98</v>
      </c>
      <c r="J13" s="5" t="s">
        <v>176</v>
      </c>
      <c r="K13" t="s">
        <v>233</v>
      </c>
      <c r="P13">
        <v>40</v>
      </c>
      <c r="Q13">
        <v>60</v>
      </c>
      <c r="S13" t="s">
        <v>17</v>
      </c>
      <c r="T13">
        <v>1</v>
      </c>
      <c r="U13">
        <v>3</v>
      </c>
      <c r="V13">
        <v>0</v>
      </c>
      <c r="W13">
        <v>0</v>
      </c>
      <c r="X13">
        <v>0</v>
      </c>
      <c r="Y13">
        <v>10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>
      <c r="A14" s="5" t="s">
        <v>267</v>
      </c>
      <c r="B14" s="5" t="s">
        <v>295</v>
      </c>
      <c r="C14" s="5" t="s">
        <v>296</v>
      </c>
      <c r="D14" s="5" t="s">
        <v>176</v>
      </c>
      <c r="E14" t="s">
        <v>233</v>
      </c>
      <c r="F14" s="5" t="s">
        <v>190</v>
      </c>
      <c r="G14" t="s">
        <v>235</v>
      </c>
      <c r="H14" s="5" t="s">
        <v>78</v>
      </c>
      <c r="I14" t="s">
        <v>98</v>
      </c>
      <c r="J14" s="5" t="s">
        <v>176</v>
      </c>
      <c r="K14" t="s">
        <v>233</v>
      </c>
      <c r="P14">
        <v>40</v>
      </c>
      <c r="Q14">
        <v>60</v>
      </c>
      <c r="S14" t="s">
        <v>17</v>
      </c>
      <c r="T14">
        <v>1</v>
      </c>
      <c r="U14">
        <v>-1</v>
      </c>
      <c r="V14">
        <v>0</v>
      </c>
      <c r="W14">
        <v>0</v>
      </c>
      <c r="X14">
        <v>0</v>
      </c>
      <c r="Y14">
        <v>0</v>
      </c>
      <c r="Z14">
        <v>80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>
      <c r="A15" s="5" t="s">
        <v>268</v>
      </c>
      <c r="B15" s="5" t="s">
        <v>297</v>
      </c>
      <c r="C15" s="5" t="s">
        <v>298</v>
      </c>
      <c r="D15" s="5" t="s">
        <v>190</v>
      </c>
      <c r="E15" t="s">
        <v>235</v>
      </c>
      <c r="F15" s="5" t="s">
        <v>231</v>
      </c>
      <c r="G15" t="s">
        <v>230</v>
      </c>
      <c r="H15" s="5" t="s">
        <v>78</v>
      </c>
      <c r="I15" t="s">
        <v>98</v>
      </c>
      <c r="J15" s="5" t="s">
        <v>190</v>
      </c>
      <c r="K15" t="s">
        <v>235</v>
      </c>
      <c r="P15">
        <v>40</v>
      </c>
      <c r="Q15">
        <v>60</v>
      </c>
      <c r="S15" t="s">
        <v>17</v>
      </c>
      <c r="T15">
        <v>1</v>
      </c>
      <c r="U15">
        <v>3</v>
      </c>
      <c r="V15">
        <v>0</v>
      </c>
      <c r="W15">
        <v>0</v>
      </c>
      <c r="X15">
        <v>0</v>
      </c>
      <c r="Y15">
        <v>0</v>
      </c>
      <c r="Z15">
        <v>0</v>
      </c>
      <c r="AA15">
        <v>10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 s="5" t="s">
        <v>269</v>
      </c>
      <c r="B16" s="5" t="s">
        <v>299</v>
      </c>
      <c r="C16" s="5" t="s">
        <v>300</v>
      </c>
      <c r="D16" s="5" t="s">
        <v>146</v>
      </c>
      <c r="E16" t="s">
        <v>228</v>
      </c>
      <c r="F16" s="5" t="s">
        <v>176</v>
      </c>
      <c r="G16" t="s">
        <v>233</v>
      </c>
      <c r="H16" s="5" t="s">
        <v>231</v>
      </c>
      <c r="I16" t="s">
        <v>230</v>
      </c>
      <c r="J16" s="5" t="s">
        <v>146</v>
      </c>
      <c r="K16" t="s">
        <v>228</v>
      </c>
      <c r="P16">
        <v>20</v>
      </c>
      <c r="Q16">
        <v>5</v>
      </c>
      <c r="S16" t="s">
        <v>17</v>
      </c>
      <c r="T16">
        <v>1</v>
      </c>
      <c r="U16">
        <v>-1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80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 s="5" t="s">
        <v>270</v>
      </c>
      <c r="B17" s="5" t="s">
        <v>301</v>
      </c>
      <c r="C17" s="5" t="s">
        <v>302</v>
      </c>
      <c r="D17" s="5" t="s">
        <v>146</v>
      </c>
      <c r="E17" t="s">
        <v>228</v>
      </c>
      <c r="F17" s="5" t="s">
        <v>190</v>
      </c>
      <c r="G17" t="s">
        <v>235</v>
      </c>
      <c r="H17" s="5" t="s">
        <v>231</v>
      </c>
      <c r="I17" t="s">
        <v>230</v>
      </c>
      <c r="J17" s="5" t="s">
        <v>146</v>
      </c>
      <c r="K17" t="s">
        <v>228</v>
      </c>
      <c r="P17">
        <v>20</v>
      </c>
      <c r="Q17">
        <v>5</v>
      </c>
      <c r="S17" t="s">
        <v>17</v>
      </c>
      <c r="T17">
        <v>1</v>
      </c>
      <c r="U17">
        <v>-1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80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>
      <c r="A18" s="5" t="s">
        <v>4</v>
      </c>
      <c r="B18" s="5" t="s">
        <v>303</v>
      </c>
      <c r="C18" s="5" t="s">
        <v>304</v>
      </c>
      <c r="D18" s="5" t="s">
        <v>197</v>
      </c>
      <c r="E18" t="s">
        <v>238</v>
      </c>
      <c r="F18" s="5" t="s">
        <v>242</v>
      </c>
      <c r="G18" t="s">
        <v>241</v>
      </c>
      <c r="H18" s="5" t="s">
        <v>83</v>
      </c>
      <c r="I18" t="s">
        <v>99</v>
      </c>
      <c r="J18" s="5" t="s">
        <v>197</v>
      </c>
      <c r="K18" t="s">
        <v>238</v>
      </c>
      <c r="L18" s="5" t="s">
        <v>242</v>
      </c>
      <c r="M18" t="s">
        <v>241</v>
      </c>
      <c r="P18">
        <v>55</v>
      </c>
      <c r="Q18">
        <v>120</v>
      </c>
      <c r="S18" t="s">
        <v>20</v>
      </c>
      <c r="T18">
        <v>2</v>
      </c>
      <c r="U18">
        <v>3</v>
      </c>
      <c r="V18">
        <v>9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 s="5" t="s">
        <v>3</v>
      </c>
      <c r="B19" s="5" t="s">
        <v>305</v>
      </c>
      <c r="C19" s="5" t="s">
        <v>306</v>
      </c>
      <c r="D19" s="5" t="s">
        <v>197</v>
      </c>
      <c r="E19" t="s">
        <v>238</v>
      </c>
      <c r="F19" s="5" t="s">
        <v>205</v>
      </c>
      <c r="G19" t="s">
        <v>244</v>
      </c>
      <c r="H19" s="5" t="s">
        <v>83</v>
      </c>
      <c r="I19" t="s">
        <v>99</v>
      </c>
      <c r="J19" s="5" t="s">
        <v>197</v>
      </c>
      <c r="K19" t="s">
        <v>238</v>
      </c>
      <c r="L19" s="5" t="s">
        <v>205</v>
      </c>
      <c r="M19" t="s">
        <v>244</v>
      </c>
      <c r="P19">
        <v>55</v>
      </c>
      <c r="Q19">
        <v>120</v>
      </c>
      <c r="S19" t="s">
        <v>20</v>
      </c>
      <c r="T19">
        <v>2</v>
      </c>
      <c r="U19">
        <v>3</v>
      </c>
      <c r="V19">
        <v>0</v>
      </c>
      <c r="W19">
        <v>30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 s="5" t="s">
        <v>5</v>
      </c>
      <c r="B20" s="5" t="s">
        <v>307</v>
      </c>
      <c r="C20" s="5" t="s">
        <v>308</v>
      </c>
      <c r="D20" s="5" t="s">
        <v>197</v>
      </c>
      <c r="E20" t="s">
        <v>238</v>
      </c>
      <c r="F20" s="5" t="s">
        <v>239</v>
      </c>
      <c r="G20" t="s">
        <v>246</v>
      </c>
      <c r="H20" s="5" t="s">
        <v>83</v>
      </c>
      <c r="I20" t="s">
        <v>99</v>
      </c>
      <c r="J20" s="5" t="s">
        <v>197</v>
      </c>
      <c r="K20" t="s">
        <v>238</v>
      </c>
      <c r="L20" s="5" t="s">
        <v>239</v>
      </c>
      <c r="M20" t="s">
        <v>246</v>
      </c>
      <c r="P20">
        <v>55</v>
      </c>
      <c r="Q20">
        <v>120</v>
      </c>
      <c r="S20" t="s">
        <v>20</v>
      </c>
      <c r="T20">
        <v>2</v>
      </c>
      <c r="U20">
        <v>3</v>
      </c>
      <c r="V20">
        <v>0</v>
      </c>
      <c r="W20">
        <v>0</v>
      </c>
      <c r="X20">
        <v>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s="5" t="s">
        <v>8</v>
      </c>
      <c r="B21" s="5" t="s">
        <v>309</v>
      </c>
      <c r="C21" s="5" t="s">
        <v>310</v>
      </c>
      <c r="D21" s="5" t="s">
        <v>205</v>
      </c>
      <c r="E21" t="s">
        <v>244</v>
      </c>
      <c r="F21" s="5" t="s">
        <v>242</v>
      </c>
      <c r="G21" t="s">
        <v>241</v>
      </c>
      <c r="H21" s="5" t="s">
        <v>83</v>
      </c>
      <c r="I21" t="s">
        <v>99</v>
      </c>
      <c r="J21" s="5" t="s">
        <v>205</v>
      </c>
      <c r="K21" t="s">
        <v>244</v>
      </c>
      <c r="L21" s="5" t="s">
        <v>242</v>
      </c>
      <c r="M21" t="s">
        <v>241</v>
      </c>
      <c r="P21">
        <v>55</v>
      </c>
      <c r="Q21">
        <v>120</v>
      </c>
      <c r="S21" t="s">
        <v>20</v>
      </c>
      <c r="T21">
        <v>2</v>
      </c>
      <c r="U21">
        <v>3</v>
      </c>
      <c r="V21">
        <v>0</v>
      </c>
      <c r="W21">
        <v>0</v>
      </c>
      <c r="X21">
        <v>0</v>
      </c>
      <c r="Y21">
        <v>20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s="5" t="s">
        <v>267</v>
      </c>
      <c r="B22" s="5" t="s">
        <v>311</v>
      </c>
      <c r="C22" s="5" t="s">
        <v>312</v>
      </c>
      <c r="D22" s="5" t="s">
        <v>205</v>
      </c>
      <c r="E22" t="s">
        <v>244</v>
      </c>
      <c r="F22" s="5" t="s">
        <v>239</v>
      </c>
      <c r="G22" t="s">
        <v>246</v>
      </c>
      <c r="H22" s="5" t="s">
        <v>83</v>
      </c>
      <c r="I22" t="s">
        <v>99</v>
      </c>
      <c r="J22" s="5" t="s">
        <v>205</v>
      </c>
      <c r="K22" t="s">
        <v>244</v>
      </c>
      <c r="L22" s="5" t="s">
        <v>239</v>
      </c>
      <c r="M22" t="s">
        <v>246</v>
      </c>
      <c r="P22">
        <v>55</v>
      </c>
      <c r="Q22">
        <v>120</v>
      </c>
      <c r="S22" t="s">
        <v>20</v>
      </c>
      <c r="T22">
        <v>2</v>
      </c>
      <c r="U22">
        <v>-1</v>
      </c>
      <c r="V22">
        <v>0</v>
      </c>
      <c r="W22">
        <v>0</v>
      </c>
      <c r="X22">
        <v>0</v>
      </c>
      <c r="Y22">
        <v>0</v>
      </c>
      <c r="Z22">
        <v>160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>
      <c r="A23" s="5" t="s">
        <v>268</v>
      </c>
      <c r="B23" s="5" t="s">
        <v>313</v>
      </c>
      <c r="C23" s="5" t="s">
        <v>314</v>
      </c>
      <c r="D23" s="5" t="s">
        <v>239</v>
      </c>
      <c r="E23" t="s">
        <v>246</v>
      </c>
      <c r="F23" s="5" t="s">
        <v>242</v>
      </c>
      <c r="G23" t="s">
        <v>241</v>
      </c>
      <c r="H23" s="5" t="s">
        <v>83</v>
      </c>
      <c r="I23" t="s">
        <v>99</v>
      </c>
      <c r="J23" s="5" t="s">
        <v>239</v>
      </c>
      <c r="K23" t="s">
        <v>246</v>
      </c>
      <c r="L23" s="5" t="s">
        <v>242</v>
      </c>
      <c r="M23" t="s">
        <v>241</v>
      </c>
      <c r="P23">
        <v>55</v>
      </c>
      <c r="Q23">
        <v>120</v>
      </c>
      <c r="S23" t="s">
        <v>20</v>
      </c>
      <c r="T23">
        <v>2</v>
      </c>
      <c r="U23">
        <v>3</v>
      </c>
      <c r="V23">
        <v>0</v>
      </c>
      <c r="W23">
        <v>0</v>
      </c>
      <c r="X23">
        <v>0</v>
      </c>
      <c r="Y23">
        <v>0</v>
      </c>
      <c r="Z23">
        <v>0</v>
      </c>
      <c r="AA23">
        <v>20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>
      <c r="A24" s="5" t="s">
        <v>269</v>
      </c>
      <c r="B24" s="5" t="s">
        <v>315</v>
      </c>
      <c r="C24" s="5" t="s">
        <v>316</v>
      </c>
      <c r="D24" s="5" t="s">
        <v>197</v>
      </c>
      <c r="E24" t="s">
        <v>238</v>
      </c>
      <c r="F24" s="5" t="s">
        <v>205</v>
      </c>
      <c r="G24" t="s">
        <v>244</v>
      </c>
      <c r="H24" s="5" t="s">
        <v>242</v>
      </c>
      <c r="I24" t="s">
        <v>241</v>
      </c>
      <c r="J24" s="5" t="s">
        <v>197</v>
      </c>
      <c r="K24" t="s">
        <v>238</v>
      </c>
      <c r="L24" s="5" t="s">
        <v>205</v>
      </c>
      <c r="M24" t="s">
        <v>244</v>
      </c>
      <c r="P24">
        <v>20</v>
      </c>
      <c r="Q24">
        <v>10</v>
      </c>
      <c r="S24" t="s">
        <v>20</v>
      </c>
      <c r="T24">
        <v>2</v>
      </c>
      <c r="U24">
        <v>-1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240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>
      <c r="A25" s="5" t="s">
        <v>270</v>
      </c>
      <c r="B25" s="5" t="s">
        <v>317</v>
      </c>
      <c r="C25" s="5" t="s">
        <v>318</v>
      </c>
      <c r="D25" s="5" t="s">
        <v>197</v>
      </c>
      <c r="E25" t="s">
        <v>238</v>
      </c>
      <c r="F25" s="5" t="s">
        <v>239</v>
      </c>
      <c r="G25" t="s">
        <v>246</v>
      </c>
      <c r="H25" s="5" t="s">
        <v>242</v>
      </c>
      <c r="I25" t="s">
        <v>241</v>
      </c>
      <c r="J25" s="5" t="s">
        <v>197</v>
      </c>
      <c r="K25" t="s">
        <v>238</v>
      </c>
      <c r="L25" s="5" t="s">
        <v>239</v>
      </c>
      <c r="M25" t="s">
        <v>246</v>
      </c>
      <c r="P25">
        <v>20</v>
      </c>
      <c r="Q25">
        <v>10</v>
      </c>
      <c r="S25" t="s">
        <v>20</v>
      </c>
      <c r="T25">
        <v>2</v>
      </c>
      <c r="U25">
        <v>-1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240</v>
      </c>
      <c r="AD25">
        <v>0</v>
      </c>
      <c r="AE25">
        <v>0</v>
      </c>
      <c r="AF25">
        <v>0</v>
      </c>
      <c r="AG25">
        <v>0</v>
      </c>
      <c r="AH25">
        <v>0</v>
      </c>
    </row>
    <row r="26" ht="15" spans="1:34">
      <c r="A26" s="5" t="s">
        <v>4</v>
      </c>
      <c r="B26" s="5" t="s">
        <v>319</v>
      </c>
      <c r="C26" s="5" t="s">
        <v>320</v>
      </c>
      <c r="D26" s="5" t="s">
        <v>208</v>
      </c>
      <c r="E26" t="s">
        <v>249</v>
      </c>
      <c r="F26" s="5" t="s">
        <v>253</v>
      </c>
      <c r="G26" t="s">
        <v>252</v>
      </c>
      <c r="H26" s="5" t="s">
        <v>88</v>
      </c>
      <c r="I26" t="s">
        <v>100</v>
      </c>
      <c r="J26" s="5" t="s">
        <v>208</v>
      </c>
      <c r="K26" t="s">
        <v>249</v>
      </c>
      <c r="L26" s="5" t="s">
        <v>253</v>
      </c>
      <c r="M26" t="s">
        <v>252</v>
      </c>
      <c r="N26" s="5" t="s">
        <v>88</v>
      </c>
      <c r="O26" t="s">
        <v>100</v>
      </c>
      <c r="P26">
        <v>120</v>
      </c>
      <c r="Q26">
        <v>240</v>
      </c>
      <c r="S26" t="s">
        <v>23</v>
      </c>
      <c r="T26">
        <v>3</v>
      </c>
      <c r="U26">
        <v>3</v>
      </c>
      <c r="V26">
        <v>27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>
      <c r="A27" s="5" t="s">
        <v>3</v>
      </c>
      <c r="B27" s="5" t="s">
        <v>321</v>
      </c>
      <c r="C27" s="5" t="s">
        <v>322</v>
      </c>
      <c r="D27" s="5" t="s">
        <v>208</v>
      </c>
      <c r="E27" t="s">
        <v>249</v>
      </c>
      <c r="F27" s="5" t="s">
        <v>209</v>
      </c>
      <c r="G27" t="s">
        <v>255</v>
      </c>
      <c r="H27" s="5" t="s">
        <v>88</v>
      </c>
      <c r="I27" t="s">
        <v>100</v>
      </c>
      <c r="J27" s="5" t="s">
        <v>208</v>
      </c>
      <c r="K27" t="s">
        <v>249</v>
      </c>
      <c r="L27" s="5" t="s">
        <v>209</v>
      </c>
      <c r="M27" t="s">
        <v>255</v>
      </c>
      <c r="N27" s="5" t="s">
        <v>88</v>
      </c>
      <c r="O27" t="s">
        <v>100</v>
      </c>
      <c r="P27">
        <v>120</v>
      </c>
      <c r="Q27">
        <v>240</v>
      </c>
      <c r="S27" t="s">
        <v>23</v>
      </c>
      <c r="T27">
        <v>3</v>
      </c>
      <c r="U27">
        <v>3</v>
      </c>
      <c r="V27">
        <v>0</v>
      </c>
      <c r="W27">
        <v>90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>
      <c r="A28" s="5" t="s">
        <v>5</v>
      </c>
      <c r="B28" s="5" t="s">
        <v>323</v>
      </c>
      <c r="C28" s="5" t="s">
        <v>324</v>
      </c>
      <c r="D28" s="5" t="s">
        <v>208</v>
      </c>
      <c r="E28" t="s">
        <v>249</v>
      </c>
      <c r="F28" s="5" t="s">
        <v>247</v>
      </c>
      <c r="G28" t="s">
        <v>258</v>
      </c>
      <c r="H28" s="5" t="s">
        <v>88</v>
      </c>
      <c r="I28" t="s">
        <v>100</v>
      </c>
      <c r="J28" s="5" t="s">
        <v>208</v>
      </c>
      <c r="K28" t="s">
        <v>249</v>
      </c>
      <c r="L28" s="5" t="s">
        <v>247</v>
      </c>
      <c r="M28" t="s">
        <v>258</v>
      </c>
      <c r="N28" s="5" t="s">
        <v>88</v>
      </c>
      <c r="O28" t="s">
        <v>100</v>
      </c>
      <c r="P28">
        <v>120</v>
      </c>
      <c r="Q28">
        <v>240</v>
      </c>
      <c r="S28" t="s">
        <v>23</v>
      </c>
      <c r="T28">
        <v>3</v>
      </c>
      <c r="U28">
        <v>3</v>
      </c>
      <c r="V28">
        <v>0</v>
      </c>
      <c r="W28">
        <v>0</v>
      </c>
      <c r="X28">
        <v>27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 s="5" t="s">
        <v>8</v>
      </c>
      <c r="B29" s="5" t="s">
        <v>325</v>
      </c>
      <c r="C29" s="5" t="s">
        <v>326</v>
      </c>
      <c r="D29" s="5" t="s">
        <v>209</v>
      </c>
      <c r="E29" t="s">
        <v>255</v>
      </c>
      <c r="F29" s="5" t="s">
        <v>253</v>
      </c>
      <c r="G29" t="s">
        <v>252</v>
      </c>
      <c r="H29" s="5" t="s">
        <v>88</v>
      </c>
      <c r="I29" t="s">
        <v>100</v>
      </c>
      <c r="J29" s="5" t="s">
        <v>209</v>
      </c>
      <c r="K29" t="s">
        <v>255</v>
      </c>
      <c r="L29" s="5" t="s">
        <v>253</v>
      </c>
      <c r="M29" t="s">
        <v>252</v>
      </c>
      <c r="N29" s="5" t="s">
        <v>88</v>
      </c>
      <c r="O29" t="s">
        <v>100</v>
      </c>
      <c r="P29">
        <v>120</v>
      </c>
      <c r="Q29">
        <v>240</v>
      </c>
      <c r="S29" t="s">
        <v>23</v>
      </c>
      <c r="T29">
        <v>3</v>
      </c>
      <c r="U29">
        <v>3</v>
      </c>
      <c r="V29">
        <v>0</v>
      </c>
      <c r="W29">
        <v>0</v>
      </c>
      <c r="X29">
        <v>0</v>
      </c>
      <c r="Y29">
        <v>30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ht="15" spans="1:34">
      <c r="A30" s="5" t="s">
        <v>267</v>
      </c>
      <c r="B30" s="5" t="s">
        <v>327</v>
      </c>
      <c r="C30" s="5" t="s">
        <v>328</v>
      </c>
      <c r="D30" s="5" t="s">
        <v>209</v>
      </c>
      <c r="E30" t="s">
        <v>255</v>
      </c>
      <c r="F30" s="5" t="s">
        <v>247</v>
      </c>
      <c r="G30" t="s">
        <v>258</v>
      </c>
      <c r="H30" s="5" t="s">
        <v>88</v>
      </c>
      <c r="I30" t="s">
        <v>100</v>
      </c>
      <c r="J30" s="5" t="s">
        <v>209</v>
      </c>
      <c r="K30" t="s">
        <v>255</v>
      </c>
      <c r="L30" s="5" t="s">
        <v>247</v>
      </c>
      <c r="M30" t="s">
        <v>258</v>
      </c>
      <c r="N30" s="5" t="s">
        <v>88</v>
      </c>
      <c r="O30" t="s">
        <v>100</v>
      </c>
      <c r="P30">
        <v>120</v>
      </c>
      <c r="Q30">
        <v>240</v>
      </c>
      <c r="S30" t="s">
        <v>23</v>
      </c>
      <c r="T30">
        <v>3</v>
      </c>
      <c r="U30">
        <v>-1</v>
      </c>
      <c r="V30">
        <v>0</v>
      </c>
      <c r="W30">
        <v>0</v>
      </c>
      <c r="X30">
        <v>0</v>
      </c>
      <c r="Y30">
        <v>0</v>
      </c>
      <c r="Z30">
        <v>320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>
      <c r="A31" s="5" t="s">
        <v>268</v>
      </c>
      <c r="B31" s="5" t="s">
        <v>329</v>
      </c>
      <c r="C31" s="5" t="s">
        <v>330</v>
      </c>
      <c r="D31" s="5" t="s">
        <v>247</v>
      </c>
      <c r="E31" t="s">
        <v>258</v>
      </c>
      <c r="F31" s="5" t="s">
        <v>253</v>
      </c>
      <c r="G31" t="s">
        <v>252</v>
      </c>
      <c r="H31" s="5" t="s">
        <v>88</v>
      </c>
      <c r="I31" t="s">
        <v>100</v>
      </c>
      <c r="J31" s="5" t="s">
        <v>247</v>
      </c>
      <c r="K31" t="s">
        <v>258</v>
      </c>
      <c r="L31" s="5" t="s">
        <v>253</v>
      </c>
      <c r="M31" t="s">
        <v>252</v>
      </c>
      <c r="N31" s="5" t="s">
        <v>88</v>
      </c>
      <c r="O31" t="s">
        <v>100</v>
      </c>
      <c r="P31">
        <v>120</v>
      </c>
      <c r="Q31">
        <v>240</v>
      </c>
      <c r="S31" t="s">
        <v>23</v>
      </c>
      <c r="T31">
        <v>3</v>
      </c>
      <c r="U31">
        <v>3</v>
      </c>
      <c r="V31">
        <v>0</v>
      </c>
      <c r="W31">
        <v>0</v>
      </c>
      <c r="X31">
        <v>0</v>
      </c>
      <c r="Y31">
        <v>0</v>
      </c>
      <c r="Z31">
        <v>0</v>
      </c>
      <c r="AA31">
        <v>40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ht="15" spans="1:34">
      <c r="A32" s="5" t="s">
        <v>269</v>
      </c>
      <c r="B32" s="5" t="s">
        <v>331</v>
      </c>
      <c r="C32" s="5" t="s">
        <v>332</v>
      </c>
      <c r="D32" s="5" t="s">
        <v>208</v>
      </c>
      <c r="E32" t="s">
        <v>249</v>
      </c>
      <c r="F32" s="5" t="s">
        <v>209</v>
      </c>
      <c r="G32" t="s">
        <v>255</v>
      </c>
      <c r="H32" s="5" t="s">
        <v>253</v>
      </c>
      <c r="I32" t="s">
        <v>252</v>
      </c>
      <c r="J32" s="5" t="s">
        <v>208</v>
      </c>
      <c r="K32" t="s">
        <v>249</v>
      </c>
      <c r="L32" s="5" t="s">
        <v>209</v>
      </c>
      <c r="M32" t="s">
        <v>255</v>
      </c>
      <c r="N32" s="5" t="s">
        <v>253</v>
      </c>
      <c r="O32" t="s">
        <v>252</v>
      </c>
      <c r="P32">
        <v>20</v>
      </c>
      <c r="Q32">
        <v>20</v>
      </c>
      <c r="S32" t="s">
        <v>23</v>
      </c>
      <c r="T32">
        <v>3</v>
      </c>
      <c r="U32">
        <v>-1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720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>
      <c r="A33" s="5" t="s">
        <v>270</v>
      </c>
      <c r="B33" s="5" t="s">
        <v>333</v>
      </c>
      <c r="C33" s="5" t="s">
        <v>334</v>
      </c>
      <c r="D33" s="5" t="s">
        <v>208</v>
      </c>
      <c r="E33" t="s">
        <v>249</v>
      </c>
      <c r="F33" s="5" t="s">
        <v>247</v>
      </c>
      <c r="G33" t="s">
        <v>258</v>
      </c>
      <c r="H33" s="5" t="s">
        <v>253</v>
      </c>
      <c r="I33" t="s">
        <v>252</v>
      </c>
      <c r="J33" s="5" t="s">
        <v>208</v>
      </c>
      <c r="K33" t="s">
        <v>249</v>
      </c>
      <c r="L33" s="5" t="s">
        <v>247</v>
      </c>
      <c r="M33" t="s">
        <v>258</v>
      </c>
      <c r="N33" s="5" t="s">
        <v>253</v>
      </c>
      <c r="O33" t="s">
        <v>252</v>
      </c>
      <c r="P33">
        <v>20</v>
      </c>
      <c r="Q33">
        <v>20</v>
      </c>
      <c r="S33" t="s">
        <v>23</v>
      </c>
      <c r="T33">
        <v>3</v>
      </c>
      <c r="U33">
        <v>-1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720</v>
      </c>
      <c r="AD33">
        <v>0</v>
      </c>
      <c r="AE33">
        <v>0</v>
      </c>
      <c r="AF33">
        <v>0</v>
      </c>
      <c r="AG33">
        <v>0</v>
      </c>
      <c r="AH33">
        <v>0</v>
      </c>
    </row>
    <row r="34" ht="15" spans="1:34">
      <c r="A34" s="5" t="s">
        <v>4</v>
      </c>
      <c r="B34" s="5" t="s">
        <v>335</v>
      </c>
      <c r="C34" s="5" t="s">
        <v>336</v>
      </c>
      <c r="D34" s="5" t="s">
        <v>250</v>
      </c>
      <c r="E34" t="s">
        <v>260</v>
      </c>
      <c r="F34" s="5" t="s">
        <v>214</v>
      </c>
      <c r="G34" t="s">
        <v>261</v>
      </c>
      <c r="H34" s="5" t="s">
        <v>88</v>
      </c>
      <c r="I34" t="s">
        <v>100</v>
      </c>
      <c r="J34" s="5" t="s">
        <v>250</v>
      </c>
      <c r="K34" t="s">
        <v>260</v>
      </c>
      <c r="L34" s="5" t="s">
        <v>214</v>
      </c>
      <c r="M34" t="s">
        <v>261</v>
      </c>
      <c r="N34" s="5" t="s">
        <v>88</v>
      </c>
      <c r="O34" t="s">
        <v>100</v>
      </c>
      <c r="P34">
        <v>160</v>
      </c>
      <c r="Q34">
        <v>480</v>
      </c>
      <c r="S34" t="s">
        <v>26</v>
      </c>
      <c r="T34">
        <v>4</v>
      </c>
      <c r="U34">
        <v>3</v>
      </c>
      <c r="V34">
        <v>54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>
      <c r="A35" s="5" t="s">
        <v>3</v>
      </c>
      <c r="B35" s="5" t="s">
        <v>337</v>
      </c>
      <c r="C35" s="5" t="s">
        <v>338</v>
      </c>
      <c r="D35" s="5" t="s">
        <v>250</v>
      </c>
      <c r="E35" t="s">
        <v>260</v>
      </c>
      <c r="F35" s="5" t="s">
        <v>215</v>
      </c>
      <c r="G35" t="s">
        <v>262</v>
      </c>
      <c r="H35" s="5" t="s">
        <v>88</v>
      </c>
      <c r="I35" t="s">
        <v>100</v>
      </c>
      <c r="J35" s="5" t="s">
        <v>250</v>
      </c>
      <c r="K35" t="s">
        <v>260</v>
      </c>
      <c r="L35" s="5" t="s">
        <v>215</v>
      </c>
      <c r="M35" t="s">
        <v>262</v>
      </c>
      <c r="N35" s="5" t="s">
        <v>88</v>
      </c>
      <c r="O35" t="s">
        <v>100</v>
      </c>
      <c r="P35">
        <v>160</v>
      </c>
      <c r="Q35">
        <v>480</v>
      </c>
      <c r="S35" t="s">
        <v>26</v>
      </c>
      <c r="T35">
        <v>4</v>
      </c>
      <c r="U35">
        <v>3</v>
      </c>
      <c r="V35">
        <v>0</v>
      </c>
      <c r="W35">
        <v>150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ht="15" spans="1:34">
      <c r="A36" s="5" t="s">
        <v>5</v>
      </c>
      <c r="B36" s="5" t="s">
        <v>339</v>
      </c>
      <c r="C36" s="5" t="s">
        <v>340</v>
      </c>
      <c r="D36" s="5" t="s">
        <v>250</v>
      </c>
      <c r="E36" t="s">
        <v>260</v>
      </c>
      <c r="F36" s="5" t="s">
        <v>216</v>
      </c>
      <c r="G36" t="s">
        <v>263</v>
      </c>
      <c r="H36" s="5" t="s">
        <v>88</v>
      </c>
      <c r="I36" t="s">
        <v>100</v>
      </c>
      <c r="J36" s="5" t="s">
        <v>250</v>
      </c>
      <c r="K36" t="s">
        <v>260</v>
      </c>
      <c r="L36" s="5" t="s">
        <v>216</v>
      </c>
      <c r="M36" t="s">
        <v>263</v>
      </c>
      <c r="N36" s="5" t="s">
        <v>88</v>
      </c>
      <c r="O36" t="s">
        <v>100</v>
      </c>
      <c r="P36">
        <v>160</v>
      </c>
      <c r="Q36">
        <v>480</v>
      </c>
      <c r="S36" t="s">
        <v>26</v>
      </c>
      <c r="T36">
        <v>4</v>
      </c>
      <c r="U36">
        <v>3</v>
      </c>
      <c r="V36">
        <v>0</v>
      </c>
      <c r="W36">
        <v>0</v>
      </c>
      <c r="X36">
        <v>54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>
      <c r="A37" s="5" t="s">
        <v>8</v>
      </c>
      <c r="B37" s="5" t="s">
        <v>341</v>
      </c>
      <c r="C37" s="5" t="s">
        <v>342</v>
      </c>
      <c r="D37" s="5" t="s">
        <v>215</v>
      </c>
      <c r="E37" t="s">
        <v>262</v>
      </c>
      <c r="F37" s="5" t="s">
        <v>214</v>
      </c>
      <c r="G37" t="s">
        <v>261</v>
      </c>
      <c r="H37" s="5" t="s">
        <v>88</v>
      </c>
      <c r="I37" t="s">
        <v>100</v>
      </c>
      <c r="J37" s="5" t="s">
        <v>215</v>
      </c>
      <c r="K37" t="s">
        <v>262</v>
      </c>
      <c r="L37" s="5" t="s">
        <v>214</v>
      </c>
      <c r="M37" t="s">
        <v>261</v>
      </c>
      <c r="N37" s="5" t="s">
        <v>88</v>
      </c>
      <c r="O37" t="s">
        <v>100</v>
      </c>
      <c r="P37">
        <v>160</v>
      </c>
      <c r="Q37">
        <v>480</v>
      </c>
      <c r="S37" t="s">
        <v>26</v>
      </c>
      <c r="T37">
        <v>4</v>
      </c>
      <c r="U37">
        <v>3</v>
      </c>
      <c r="V37">
        <v>0</v>
      </c>
      <c r="W37">
        <v>0</v>
      </c>
      <c r="X37">
        <v>0</v>
      </c>
      <c r="Y37">
        <v>40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>
      <c r="A38" s="5" t="s">
        <v>267</v>
      </c>
      <c r="B38" s="5" t="s">
        <v>343</v>
      </c>
      <c r="C38" s="5" t="s">
        <v>344</v>
      </c>
      <c r="D38" s="5" t="s">
        <v>216</v>
      </c>
      <c r="E38" t="s">
        <v>263</v>
      </c>
      <c r="F38" s="5" t="s">
        <v>216</v>
      </c>
      <c r="G38" t="s">
        <v>263</v>
      </c>
      <c r="H38" s="5" t="s">
        <v>88</v>
      </c>
      <c r="I38" t="s">
        <v>100</v>
      </c>
      <c r="J38" s="5" t="s">
        <v>216</v>
      </c>
      <c r="K38" t="s">
        <v>263</v>
      </c>
      <c r="L38" s="5" t="s">
        <v>216</v>
      </c>
      <c r="M38" t="s">
        <v>263</v>
      </c>
      <c r="N38" s="5" t="s">
        <v>88</v>
      </c>
      <c r="O38" t="s">
        <v>100</v>
      </c>
      <c r="P38">
        <v>160</v>
      </c>
      <c r="Q38">
        <v>480</v>
      </c>
      <c r="S38" t="s">
        <v>26</v>
      </c>
      <c r="T38">
        <v>4</v>
      </c>
      <c r="U38">
        <v>-1</v>
      </c>
      <c r="V38">
        <v>0</v>
      </c>
      <c r="W38">
        <v>0</v>
      </c>
      <c r="X38">
        <v>0</v>
      </c>
      <c r="Y38">
        <v>0</v>
      </c>
      <c r="Z38">
        <v>640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 s="5" t="s">
        <v>268</v>
      </c>
      <c r="B39" s="5" t="s">
        <v>345</v>
      </c>
      <c r="C39" s="5" t="s">
        <v>346</v>
      </c>
      <c r="D39" s="5" t="s">
        <v>216</v>
      </c>
      <c r="E39" t="s">
        <v>263</v>
      </c>
      <c r="F39" s="5" t="s">
        <v>214</v>
      </c>
      <c r="G39" t="s">
        <v>261</v>
      </c>
      <c r="H39" s="5" t="s">
        <v>88</v>
      </c>
      <c r="I39" t="s">
        <v>100</v>
      </c>
      <c r="J39" s="5" t="s">
        <v>216</v>
      </c>
      <c r="K39" t="s">
        <v>263</v>
      </c>
      <c r="L39" s="5" t="s">
        <v>214</v>
      </c>
      <c r="M39" t="s">
        <v>261</v>
      </c>
      <c r="N39" s="5" t="s">
        <v>88</v>
      </c>
      <c r="O39" t="s">
        <v>100</v>
      </c>
      <c r="P39">
        <v>160</v>
      </c>
      <c r="Q39">
        <v>480</v>
      </c>
      <c r="S39" t="s">
        <v>26</v>
      </c>
      <c r="T39">
        <v>4</v>
      </c>
      <c r="U39">
        <v>3</v>
      </c>
      <c r="V39">
        <v>0</v>
      </c>
      <c r="W39">
        <v>0</v>
      </c>
      <c r="X39">
        <v>0</v>
      </c>
      <c r="Y39">
        <v>0</v>
      </c>
      <c r="Z39">
        <v>0</v>
      </c>
      <c r="AA39">
        <v>80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 s="5" t="s">
        <v>269</v>
      </c>
      <c r="B40" s="5" t="s">
        <v>347</v>
      </c>
      <c r="C40" s="5" t="s">
        <v>348</v>
      </c>
      <c r="D40" s="5" t="s">
        <v>250</v>
      </c>
      <c r="E40" t="s">
        <v>260</v>
      </c>
      <c r="F40" s="5" t="s">
        <v>215</v>
      </c>
      <c r="G40" t="s">
        <v>262</v>
      </c>
      <c r="H40" s="5" t="s">
        <v>214</v>
      </c>
      <c r="I40" t="s">
        <v>261</v>
      </c>
      <c r="J40" s="5" t="s">
        <v>250</v>
      </c>
      <c r="K40" t="s">
        <v>260</v>
      </c>
      <c r="L40" s="5" t="s">
        <v>215</v>
      </c>
      <c r="M40" t="s">
        <v>262</v>
      </c>
      <c r="N40" s="5" t="s">
        <v>214</v>
      </c>
      <c r="O40" t="s">
        <v>261</v>
      </c>
      <c r="P40">
        <v>20</v>
      </c>
      <c r="Q40">
        <v>40</v>
      </c>
      <c r="S40" t="s">
        <v>26</v>
      </c>
      <c r="T40">
        <v>4</v>
      </c>
      <c r="U40">
        <v>-1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1440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>
      <c r="A41" s="5" t="s">
        <v>270</v>
      </c>
      <c r="B41" s="5" t="s">
        <v>349</v>
      </c>
      <c r="C41" s="5" t="s">
        <v>350</v>
      </c>
      <c r="D41" s="5" t="s">
        <v>250</v>
      </c>
      <c r="E41" t="s">
        <v>260</v>
      </c>
      <c r="F41" s="5" t="s">
        <v>216</v>
      </c>
      <c r="G41" t="s">
        <v>263</v>
      </c>
      <c r="H41" s="5" t="s">
        <v>214</v>
      </c>
      <c r="I41" t="s">
        <v>261</v>
      </c>
      <c r="J41" s="5" t="s">
        <v>250</v>
      </c>
      <c r="K41" t="s">
        <v>260</v>
      </c>
      <c r="L41" s="5" t="s">
        <v>216</v>
      </c>
      <c r="M41" t="s">
        <v>263</v>
      </c>
      <c r="N41" s="5" t="s">
        <v>214</v>
      </c>
      <c r="O41" t="s">
        <v>261</v>
      </c>
      <c r="P41">
        <v>20</v>
      </c>
      <c r="Q41">
        <v>40</v>
      </c>
      <c r="S41" t="s">
        <v>26</v>
      </c>
      <c r="T41">
        <v>4</v>
      </c>
      <c r="U41">
        <v>-1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1440</v>
      </c>
      <c r="AD41">
        <v>0</v>
      </c>
      <c r="AE41">
        <v>0</v>
      </c>
      <c r="AF41">
        <v>0</v>
      </c>
      <c r="AG41">
        <v>0</v>
      </c>
      <c r="AH41">
        <v>0</v>
      </c>
    </row>
    <row r="46" spans="1:6">
      <c r="A46" s="5" t="s">
        <v>131</v>
      </c>
      <c r="B46" s="5" t="s">
        <v>219</v>
      </c>
      <c r="D46" t="s">
        <v>73</v>
      </c>
      <c r="E46">
        <v>0</v>
      </c>
      <c r="F46" t="s">
        <v>97</v>
      </c>
    </row>
    <row r="47" spans="1:6">
      <c r="A47" s="5" t="s">
        <v>222</v>
      </c>
      <c r="B47" s="5" t="s">
        <v>221</v>
      </c>
      <c r="D47" t="s">
        <v>78</v>
      </c>
      <c r="E47">
        <v>1</v>
      </c>
      <c r="F47" t="s">
        <v>98</v>
      </c>
    </row>
    <row r="48" spans="1:6">
      <c r="A48" s="5" t="s">
        <v>139</v>
      </c>
      <c r="B48" s="5" t="s">
        <v>224</v>
      </c>
      <c r="D48" t="s">
        <v>83</v>
      </c>
      <c r="E48">
        <v>2</v>
      </c>
      <c r="F48" t="s">
        <v>99</v>
      </c>
    </row>
    <row r="49" spans="1:6">
      <c r="A49" s="5" t="s">
        <v>161</v>
      </c>
      <c r="B49" s="5" t="s">
        <v>226</v>
      </c>
      <c r="D49" t="s">
        <v>88</v>
      </c>
      <c r="E49">
        <v>3</v>
      </c>
      <c r="F49" t="s">
        <v>100</v>
      </c>
    </row>
    <row r="50" spans="1:2">
      <c r="A50" s="5" t="s">
        <v>146</v>
      </c>
      <c r="B50" s="5" t="s">
        <v>228</v>
      </c>
    </row>
    <row r="51" spans="1:2">
      <c r="A51" s="5" t="s">
        <v>231</v>
      </c>
      <c r="B51" s="5" t="s">
        <v>230</v>
      </c>
    </row>
    <row r="52" spans="1:2">
      <c r="A52" s="5" t="s">
        <v>176</v>
      </c>
      <c r="B52" s="5" t="s">
        <v>233</v>
      </c>
    </row>
    <row r="53" spans="1:2">
      <c r="A53" s="5" t="s">
        <v>190</v>
      </c>
      <c r="B53" s="5" t="s">
        <v>235</v>
      </c>
    </row>
    <row r="54" spans="1:2">
      <c r="A54" s="5" t="s">
        <v>197</v>
      </c>
      <c r="B54" s="5" t="s">
        <v>238</v>
      </c>
    </row>
    <row r="55" spans="1:2">
      <c r="A55" s="5" t="s">
        <v>242</v>
      </c>
      <c r="B55" s="5" t="s">
        <v>241</v>
      </c>
    </row>
    <row r="56" spans="1:2">
      <c r="A56" s="5" t="s">
        <v>205</v>
      </c>
      <c r="B56" s="5" t="s">
        <v>244</v>
      </c>
    </row>
    <row r="57" spans="1:2">
      <c r="A57" s="5" t="s">
        <v>239</v>
      </c>
      <c r="B57" s="5" t="s">
        <v>246</v>
      </c>
    </row>
    <row r="58" spans="1:2">
      <c r="A58" s="5" t="s">
        <v>208</v>
      </c>
      <c r="B58" s="5" t="s">
        <v>249</v>
      </c>
    </row>
    <row r="59" spans="1:2">
      <c r="A59" s="5" t="s">
        <v>253</v>
      </c>
      <c r="B59" s="5" t="s">
        <v>252</v>
      </c>
    </row>
    <row r="60" spans="1:2">
      <c r="A60" s="5" t="s">
        <v>209</v>
      </c>
      <c r="B60" s="5" t="s">
        <v>255</v>
      </c>
    </row>
    <row r="61" spans="1:2">
      <c r="A61" s="5" t="s">
        <v>247</v>
      </c>
      <c r="B61" s="5" t="s">
        <v>258</v>
      </c>
    </row>
    <row r="62" spans="1:2">
      <c r="A62" s="5" t="s">
        <v>250</v>
      </c>
      <c r="B62" s="5" t="s">
        <v>260</v>
      </c>
    </row>
    <row r="63" spans="1:2">
      <c r="A63" s="5" t="s">
        <v>214</v>
      </c>
      <c r="B63" s="5" t="s">
        <v>261</v>
      </c>
    </row>
    <row r="64" spans="1:2">
      <c r="A64" s="5" t="s">
        <v>215</v>
      </c>
      <c r="B64" s="5" t="s">
        <v>262</v>
      </c>
    </row>
    <row r="65" spans="1:2">
      <c r="A65" s="5" t="s">
        <v>216</v>
      </c>
      <c r="B65" s="5" t="s">
        <v>263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zoomScale="145" zoomScaleNormal="145" workbookViewId="0">
      <selection activeCell="C2" sqref="C2:C12"/>
    </sheetView>
  </sheetViews>
  <sheetFormatPr defaultColWidth="9" defaultRowHeight="13.5"/>
  <sheetData>
    <row r="1" spans="5:16">
      <c r="E1" t="s">
        <v>351</v>
      </c>
      <c r="F1" t="s">
        <v>352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ht="25.5" spans="1:16">
      <c r="A2" t="s">
        <v>128</v>
      </c>
      <c r="B2" s="1" t="s">
        <v>129</v>
      </c>
      <c r="C2" s="2" t="s">
        <v>130</v>
      </c>
      <c r="D2" s="3" t="s">
        <v>124</v>
      </c>
      <c r="E2" t="s">
        <v>15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ht="25.5" spans="1:16">
      <c r="A3" t="s">
        <v>136</v>
      </c>
      <c r="B3" s="1" t="s">
        <v>137</v>
      </c>
      <c r="C3" s="2" t="s">
        <v>353</v>
      </c>
      <c r="D3" s="3" t="s">
        <v>124</v>
      </c>
      <c r="E3" t="s">
        <v>15</v>
      </c>
      <c r="F3">
        <v>2.5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ht="25.5" spans="1:16">
      <c r="A4" t="s">
        <v>144</v>
      </c>
      <c r="B4" s="1" t="s">
        <v>145</v>
      </c>
      <c r="C4" s="2" t="s">
        <v>354</v>
      </c>
      <c r="D4" s="3" t="s">
        <v>124</v>
      </c>
      <c r="E4" t="s">
        <v>15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152</v>
      </c>
      <c r="B5" s="1" t="s">
        <v>153</v>
      </c>
      <c r="C5" s="4" t="s">
        <v>355</v>
      </c>
      <c r="D5" s="3" t="s">
        <v>148</v>
      </c>
      <c r="E5" t="s">
        <v>17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ht="25.5" spans="1:16">
      <c r="A6" t="s">
        <v>159</v>
      </c>
      <c r="B6" s="1" t="s">
        <v>160</v>
      </c>
      <c r="C6" s="2" t="s">
        <v>356</v>
      </c>
      <c r="D6" s="3" t="s">
        <v>148</v>
      </c>
      <c r="E6" t="s">
        <v>17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166</v>
      </c>
      <c r="B7" s="5" t="s">
        <v>167</v>
      </c>
      <c r="C7" s="4" t="s">
        <v>357</v>
      </c>
      <c r="D7" s="3" t="s">
        <v>148</v>
      </c>
      <c r="E7" t="s">
        <v>17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174</v>
      </c>
      <c r="B8" s="1" t="s">
        <v>175</v>
      </c>
      <c r="C8" s="2" t="s">
        <v>358</v>
      </c>
      <c r="D8" s="3" t="s">
        <v>170</v>
      </c>
      <c r="E8" t="s">
        <v>20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181</v>
      </c>
      <c r="B9" s="3" t="s">
        <v>182</v>
      </c>
      <c r="C9" s="2" t="s">
        <v>359</v>
      </c>
      <c r="D9" s="3" t="s">
        <v>170</v>
      </c>
      <c r="E9" t="s">
        <v>20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ht="25.5" spans="1:16">
      <c r="A10" t="s">
        <v>188</v>
      </c>
      <c r="B10" s="1" t="s">
        <v>189</v>
      </c>
      <c r="C10" s="2" t="s">
        <v>360</v>
      </c>
      <c r="D10" s="3" t="s">
        <v>170</v>
      </c>
      <c r="E10" t="s">
        <v>20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196</v>
      </c>
      <c r="B11" s="3" t="s">
        <v>193</v>
      </c>
      <c r="C11" s="4" t="s">
        <v>361</v>
      </c>
      <c r="D11" s="3" t="s">
        <v>192</v>
      </c>
      <c r="E11" t="s">
        <v>23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203</v>
      </c>
      <c r="B12" s="3" t="s">
        <v>204</v>
      </c>
      <c r="C12" s="4" t="s">
        <v>362</v>
      </c>
      <c r="D12" s="3" t="s">
        <v>199</v>
      </c>
      <c r="E12" t="s">
        <v>26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5"/>
  <sheetViews>
    <sheetView zoomScale="190" zoomScaleNormal="190" workbookViewId="0">
      <selection activeCell="D9" sqref="D9"/>
    </sheetView>
  </sheetViews>
  <sheetFormatPr defaultColWidth="9" defaultRowHeight="13.5" outlineLevelRow="4" outlineLevelCol="2"/>
  <cols>
    <col min="1" max="1" width="10.325" customWidth="1"/>
    <col min="2" max="2" width="13.0916666666667" customWidth="1"/>
  </cols>
  <sheetData>
    <row r="2" spans="1:3">
      <c r="A2" t="s">
        <v>363</v>
      </c>
      <c r="B2" t="s">
        <v>364</v>
      </c>
      <c r="C2" t="s">
        <v>365</v>
      </c>
    </row>
    <row r="3" spans="1:3">
      <c r="A3" t="s">
        <v>366</v>
      </c>
      <c r="B3" t="s">
        <v>367</v>
      </c>
      <c r="C3" t="s">
        <v>368</v>
      </c>
    </row>
    <row r="4" spans="1:3">
      <c r="A4" t="s">
        <v>369</v>
      </c>
      <c r="B4" t="s">
        <v>370</v>
      </c>
      <c r="C4" t="s">
        <v>371</v>
      </c>
    </row>
    <row r="5" spans="1:3">
      <c r="A5" t="s">
        <v>372</v>
      </c>
      <c r="B5" t="s">
        <v>373</v>
      </c>
      <c r="C5" t="s">
        <v>374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境界</vt:lpstr>
      <vt:lpstr>功法</vt:lpstr>
      <vt:lpstr>装备</vt:lpstr>
      <vt:lpstr>材料</vt:lpstr>
      <vt:lpstr>群系1</vt:lpstr>
      <vt:lpstr>草药</vt:lpstr>
      <vt:lpstr>丹药</vt:lpstr>
      <vt:lpstr>妖兽</vt:lpstr>
      <vt:lpstr>功能物品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回忆</cp:lastModifiedBy>
  <dcterms:created xsi:type="dcterms:W3CDTF">2023-05-12T11:15:00Z</dcterms:created>
  <dcterms:modified xsi:type="dcterms:W3CDTF">2026-02-03T13:28:58Z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3E5A9C5F9EE7423BBEF66DA76BA1D1AD_12</vt:lpwstr>
  </property>
</Properties>
</file>